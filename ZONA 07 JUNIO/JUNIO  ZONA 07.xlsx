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BEC2A234-4CC7-4C2D-B95D-207CDF9B3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 OP JUN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99" i="1" l="1"/>
  <c r="AP199" i="1"/>
  <c r="AQ199" i="1"/>
  <c r="AO200" i="1"/>
  <c r="AO201" i="1"/>
  <c r="AP201" i="1"/>
  <c r="AQ201" i="1"/>
  <c r="AO105" i="1"/>
  <c r="AP105" i="1"/>
  <c r="AQ105" i="1"/>
  <c r="AO263" i="1"/>
  <c r="AP263" i="1"/>
  <c r="AQ263" i="1"/>
  <c r="AO264" i="1"/>
  <c r="AP264" i="1"/>
  <c r="AQ264" i="1"/>
  <c r="M272" i="1"/>
  <c r="AO170" i="1"/>
  <c r="AP170" i="1"/>
  <c r="AQ170" i="1"/>
  <c r="AO171" i="1"/>
  <c r="AP171" i="1"/>
  <c r="AQ171" i="1"/>
  <c r="AO203" i="1"/>
  <c r="AP203" i="1"/>
  <c r="AQ203" i="1"/>
  <c r="AO204" i="1"/>
  <c r="AP204" i="1"/>
  <c r="AQ204" i="1"/>
  <c r="AO44" i="1"/>
  <c r="AP44" i="1"/>
  <c r="AQ44" i="1"/>
  <c r="AO45" i="1"/>
  <c r="AP45" i="1"/>
  <c r="AQ45" i="1"/>
  <c r="AO12" i="1"/>
  <c r="AP12" i="1"/>
  <c r="AO266" i="1"/>
  <c r="AP266" i="1"/>
  <c r="AQ266" i="1"/>
  <c r="AO267" i="1"/>
  <c r="AP267" i="1"/>
  <c r="AQ267" i="1"/>
  <c r="AC239" i="1"/>
  <c r="AD239" i="1"/>
  <c r="AE239" i="1"/>
  <c r="AO14" i="1"/>
  <c r="AP14" i="1"/>
  <c r="AQ14" i="1"/>
  <c r="AO13" i="1"/>
  <c r="AP13" i="1"/>
  <c r="AQ13" i="1"/>
  <c r="AO107" i="1"/>
  <c r="AP107" i="1"/>
  <c r="AQ107" i="1"/>
  <c r="AO108" i="1"/>
  <c r="AP108" i="1"/>
  <c r="AQ108" i="1"/>
  <c r="AO15" i="1"/>
  <c r="AP15" i="1"/>
  <c r="AQ15" i="1"/>
  <c r="AO353" i="1"/>
  <c r="AP353" i="1"/>
  <c r="AQ353" i="1"/>
  <c r="AO350" i="1"/>
  <c r="AP350" i="1"/>
  <c r="AQ350" i="1"/>
  <c r="AO346" i="1"/>
  <c r="AO347" i="1"/>
  <c r="AP346" i="1"/>
  <c r="AP347" i="1"/>
  <c r="AQ346" i="1"/>
  <c r="AQ347" i="1"/>
  <c r="AO348" i="1"/>
  <c r="AO349" i="1"/>
  <c r="AP348" i="1"/>
  <c r="AP349" i="1"/>
  <c r="AQ348" i="1"/>
  <c r="AQ349" i="1"/>
  <c r="AO351" i="1"/>
  <c r="AO352" i="1"/>
  <c r="AP351" i="1"/>
  <c r="AP352" i="1"/>
  <c r="AQ351" i="1"/>
  <c r="AQ352" i="1"/>
  <c r="AO167" i="1"/>
  <c r="AP167" i="1"/>
  <c r="AQ167" i="1"/>
  <c r="AQ12" i="1"/>
  <c r="AO309" i="1"/>
  <c r="AP309" i="1"/>
  <c r="AQ309" i="1"/>
  <c r="AO308" i="1"/>
  <c r="AP308" i="1"/>
  <c r="AQ308" i="1"/>
  <c r="AO138" i="1"/>
  <c r="AP138" i="1"/>
  <c r="AQ138" i="1"/>
  <c r="AO137" i="1"/>
  <c r="AP137" i="1"/>
  <c r="AQ137" i="1"/>
  <c r="AO207" i="1"/>
  <c r="AP207" i="1"/>
  <c r="AQ207" i="1"/>
  <c r="AO205" i="1"/>
  <c r="AP205" i="1"/>
  <c r="AQ205" i="1"/>
  <c r="AO206" i="1"/>
  <c r="AP206" i="1"/>
  <c r="AQ206" i="1"/>
  <c r="AO271" i="1"/>
  <c r="AP271" i="1"/>
  <c r="AQ271" i="1"/>
  <c r="AO237" i="1"/>
  <c r="AP237" i="1"/>
  <c r="AQ237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AO70" i="1"/>
  <c r="AP70" i="1"/>
  <c r="AQ70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AQ355" i="1"/>
  <c r="AP355" i="1"/>
  <c r="AO355" i="1"/>
  <c r="AQ354" i="1"/>
  <c r="AP354" i="1"/>
  <c r="AO354" i="1"/>
  <c r="AQ345" i="1"/>
  <c r="AP345" i="1"/>
  <c r="AO345" i="1"/>
  <c r="AQ344" i="1"/>
  <c r="AP344" i="1"/>
  <c r="AO344" i="1"/>
  <c r="AQ343" i="1"/>
  <c r="AP343" i="1"/>
  <c r="AO343" i="1"/>
  <c r="AQ342" i="1"/>
  <c r="AP342" i="1"/>
  <c r="AO342" i="1"/>
  <c r="AQ341" i="1"/>
  <c r="AP341" i="1"/>
  <c r="AO341" i="1"/>
  <c r="AQ340" i="1"/>
  <c r="AP340" i="1"/>
  <c r="AO340" i="1"/>
  <c r="AQ339" i="1"/>
  <c r="AP339" i="1"/>
  <c r="AO339" i="1"/>
  <c r="AO235" i="1"/>
  <c r="AP235" i="1"/>
  <c r="AQ235" i="1"/>
  <c r="AO103" i="1"/>
  <c r="AP103" i="1"/>
  <c r="AQ103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AQ605" i="1"/>
  <c r="AP605" i="1"/>
  <c r="AO605" i="1"/>
  <c r="AQ604" i="1"/>
  <c r="AP604" i="1"/>
  <c r="AO604" i="1"/>
  <c r="AQ603" i="1"/>
  <c r="AP603" i="1"/>
  <c r="AO603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AQ568" i="1"/>
  <c r="AP568" i="1"/>
  <c r="AO568" i="1"/>
  <c r="AQ567" i="1"/>
  <c r="AP567" i="1"/>
  <c r="AO567" i="1"/>
  <c r="AQ566" i="1"/>
  <c r="AP566" i="1"/>
  <c r="AO566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AQ531" i="1"/>
  <c r="AP531" i="1"/>
  <c r="AO531" i="1"/>
  <c r="AQ530" i="1"/>
  <c r="AP530" i="1"/>
  <c r="AO530" i="1"/>
  <c r="AQ529" i="1"/>
  <c r="AP529" i="1"/>
  <c r="AO529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Q494" i="1"/>
  <c r="AP494" i="1"/>
  <c r="AO494" i="1"/>
  <c r="AQ493" i="1"/>
  <c r="AP493" i="1"/>
  <c r="AO493" i="1"/>
  <c r="AQ492" i="1"/>
  <c r="AP492" i="1"/>
  <c r="AO492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AQ457" i="1"/>
  <c r="AP457" i="1"/>
  <c r="AO457" i="1"/>
  <c r="AQ456" i="1"/>
  <c r="AP456" i="1"/>
  <c r="AO456" i="1"/>
  <c r="AQ455" i="1"/>
  <c r="AP455" i="1"/>
  <c r="AO45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AQ423" i="1"/>
  <c r="AP423" i="1"/>
  <c r="AO423" i="1"/>
  <c r="AQ422" i="1"/>
  <c r="AP422" i="1"/>
  <c r="AO422" i="1"/>
  <c r="AQ421" i="1"/>
  <c r="AP421" i="1"/>
  <c r="AO42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AQ389" i="1"/>
  <c r="AP389" i="1"/>
  <c r="AO389" i="1"/>
  <c r="AQ388" i="1"/>
  <c r="AP388" i="1"/>
  <c r="AO388" i="1"/>
  <c r="AQ387" i="1"/>
  <c r="AP387" i="1"/>
  <c r="AO387" i="1"/>
  <c r="AQ386" i="1"/>
  <c r="AP386" i="1"/>
  <c r="AO386" i="1"/>
  <c r="AQ385" i="1"/>
  <c r="AP385" i="1"/>
  <c r="AO385" i="1"/>
  <c r="AQ384" i="1"/>
  <c r="AP384" i="1"/>
  <c r="AO384" i="1"/>
  <c r="AQ383" i="1"/>
  <c r="AP383" i="1"/>
  <c r="AO383" i="1"/>
  <c r="AQ382" i="1"/>
  <c r="AP382" i="1"/>
  <c r="AO382" i="1"/>
  <c r="AQ313" i="1"/>
  <c r="AP313" i="1"/>
  <c r="AO313" i="1"/>
  <c r="AQ312" i="1"/>
  <c r="AP312" i="1"/>
  <c r="AO312" i="1"/>
  <c r="AQ311" i="1"/>
  <c r="AP311" i="1"/>
  <c r="AO311" i="1"/>
  <c r="AQ310" i="1"/>
  <c r="AP310" i="1"/>
  <c r="AO310" i="1"/>
  <c r="AQ307" i="1"/>
  <c r="AP307" i="1"/>
  <c r="AO307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L272" i="1"/>
  <c r="K272" i="1"/>
  <c r="J272" i="1"/>
  <c r="AQ270" i="1"/>
  <c r="AP270" i="1"/>
  <c r="AO270" i="1"/>
  <c r="AQ269" i="1"/>
  <c r="AP269" i="1"/>
  <c r="AO269" i="1"/>
  <c r="AQ268" i="1"/>
  <c r="AP268" i="1"/>
  <c r="AO268" i="1"/>
  <c r="AQ265" i="1"/>
  <c r="AP265" i="1"/>
  <c r="AO265" i="1"/>
  <c r="AQ262" i="1"/>
  <c r="AP262" i="1"/>
  <c r="AO262" i="1"/>
  <c r="AQ240" i="1"/>
  <c r="AP240" i="1"/>
  <c r="AO240" i="1"/>
  <c r="AN239" i="1"/>
  <c r="AM239" i="1"/>
  <c r="AL239" i="1"/>
  <c r="AK239" i="1"/>
  <c r="AJ239" i="1"/>
  <c r="AI239" i="1"/>
  <c r="AH239" i="1"/>
  <c r="AG239" i="1"/>
  <c r="AF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AQ236" i="1"/>
  <c r="AP236" i="1"/>
  <c r="AO236" i="1"/>
  <c r="AQ234" i="1"/>
  <c r="AP234" i="1"/>
  <c r="AO234" i="1"/>
  <c r="AQ233" i="1"/>
  <c r="AP233" i="1"/>
  <c r="AO233" i="1"/>
  <c r="AQ232" i="1"/>
  <c r="AP232" i="1"/>
  <c r="AO232" i="1"/>
  <c r="AQ210" i="1"/>
  <c r="AP210" i="1"/>
  <c r="AO210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AQ202" i="1"/>
  <c r="AP202" i="1"/>
  <c r="AO202" i="1"/>
  <c r="AQ200" i="1"/>
  <c r="AP200" i="1"/>
  <c r="AQ198" i="1"/>
  <c r="AP198" i="1"/>
  <c r="AO198" i="1"/>
  <c r="AQ175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Q172" i="1"/>
  <c r="AP172" i="1"/>
  <c r="AO172" i="1"/>
  <c r="AQ169" i="1"/>
  <c r="AP169" i="1"/>
  <c r="AO169" i="1"/>
  <c r="AQ168" i="1"/>
  <c r="AP168" i="1"/>
  <c r="AO168" i="1"/>
  <c r="AQ166" i="1"/>
  <c r="AP166" i="1"/>
  <c r="AO166" i="1"/>
  <c r="AQ141" i="1"/>
  <c r="AP141" i="1"/>
  <c r="AO141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Q136" i="1"/>
  <c r="AP136" i="1"/>
  <c r="AO136" i="1"/>
  <c r="AQ135" i="1"/>
  <c r="AP135" i="1"/>
  <c r="AO135" i="1"/>
  <c r="AF12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Q109" i="1"/>
  <c r="AP109" i="1"/>
  <c r="AO109" i="1"/>
  <c r="AQ106" i="1"/>
  <c r="AP106" i="1"/>
  <c r="AO106" i="1"/>
  <c r="AQ104" i="1"/>
  <c r="AP104" i="1"/>
  <c r="AO104" i="1"/>
  <c r="AQ102" i="1"/>
  <c r="AP102" i="1"/>
  <c r="AO102" i="1"/>
  <c r="AQ101" i="1"/>
  <c r="AP101" i="1"/>
  <c r="AO101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Q74" i="1"/>
  <c r="AP74" i="1"/>
  <c r="AO74" i="1"/>
  <c r="AQ73" i="1"/>
  <c r="AP73" i="1"/>
  <c r="AO73" i="1"/>
  <c r="AQ72" i="1"/>
  <c r="AP72" i="1"/>
  <c r="AO72" i="1"/>
  <c r="AQ71" i="1"/>
  <c r="AP71" i="1"/>
  <c r="AO71" i="1"/>
  <c r="AQ69" i="1"/>
  <c r="AP69" i="1"/>
  <c r="AO69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Q43" i="1"/>
  <c r="AP43" i="1"/>
  <c r="AO43" i="1"/>
  <c r="AQ42" i="1"/>
  <c r="AP42" i="1"/>
  <c r="AO42" i="1"/>
  <c r="AQ41" i="1"/>
  <c r="AP41" i="1"/>
  <c r="AO41" i="1"/>
  <c r="AQ40" i="1"/>
  <c r="AP40" i="1"/>
  <c r="AO40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Q11" i="1"/>
  <c r="AP11" i="1"/>
  <c r="AO11" i="1"/>
  <c r="AQ10" i="1"/>
  <c r="AP10" i="1"/>
  <c r="AO10" i="1"/>
  <c r="AQ9" i="1"/>
  <c r="AP9" i="1"/>
  <c r="AO9" i="1"/>
  <c r="AQ8" i="1"/>
  <c r="AP8" i="1"/>
  <c r="AO8" i="1"/>
  <c r="AN315" i="1"/>
  <c r="AN314" i="1"/>
</calcChain>
</file>

<file path=xl/sharedStrings.xml><?xml version="1.0" encoding="utf-8"?>
<sst xmlns="http://schemas.openxmlformats.org/spreadsheetml/2006/main" count="3512" uniqueCount="166">
  <si>
    <t>PARQUE EMPESARIAL NORTIKO</t>
  </si>
  <si>
    <t xml:space="preserve">PROGRAMACION DE TURNOS </t>
  </si>
  <si>
    <t xml:space="preserve">CODIGO:    </t>
  </si>
  <si>
    <t>EMPRESA:</t>
  </si>
  <si>
    <t xml:space="preserve">CORAZA SEGURIDAD CTA </t>
  </si>
  <si>
    <t xml:space="preserve">VIGENCIA:  </t>
  </si>
  <si>
    <t>NIT:</t>
  </si>
  <si>
    <t>900434727 - 3</t>
  </si>
  <si>
    <t xml:space="preserve">DIRECCION: </t>
  </si>
  <si>
    <t xml:space="preserve">CARRERA 81 # 49 - 24 </t>
  </si>
  <si>
    <t xml:space="preserve">EDICION:    </t>
  </si>
  <si>
    <t>TELEFONO:</t>
  </si>
  <si>
    <t xml:space="preserve">604 4447929 </t>
  </si>
  <si>
    <t>H. DESDE</t>
  </si>
  <si>
    <t>H. HASTA</t>
  </si>
  <si>
    <t>CLIENTE:</t>
  </si>
  <si>
    <t>COD PUESTO</t>
  </si>
  <si>
    <t xml:space="preserve">ZONA </t>
  </si>
  <si>
    <t>DIRECCION</t>
  </si>
  <si>
    <t>TIPO DE SERVICIO</t>
  </si>
  <si>
    <t xml:space="preserve">CEDULA </t>
  </si>
  <si>
    <t xml:space="preserve">APELLIDOS Y NOMBRES </t>
  </si>
  <si>
    <t>AÑO</t>
  </si>
  <si>
    <t>MES</t>
  </si>
  <si>
    <t>T. DIA</t>
  </si>
  <si>
    <t>T. NOCHE</t>
  </si>
  <si>
    <t>T. DESCANSOS</t>
  </si>
  <si>
    <t>MUNERA ALVARO</t>
  </si>
  <si>
    <t>D12</t>
  </si>
  <si>
    <t>N12</t>
  </si>
  <si>
    <t>VERTTEL DEIMER M</t>
  </si>
  <si>
    <t>D8</t>
  </si>
  <si>
    <t>Vc</t>
  </si>
  <si>
    <t>JIMENEZ LUIS FERNANDO</t>
  </si>
  <si>
    <t>MARIAGA M DEIMER A</t>
  </si>
  <si>
    <t>CASTAÑEDA B CARLOS A</t>
  </si>
  <si>
    <t>LOS TURNOS O VACACIONES AQUÍ MENSIONADOS SON UNA AVANZADA DE PROGRAMACION POR LO TANTO ESTA SUJETA A CAMBIOS</t>
  </si>
  <si>
    <t>Permanezca con el celular encendido. Solo se llamara en real urgencia durante su descanso</t>
  </si>
  <si>
    <t>Esta programación está sujeta a modificaciones según las necesidades operativas de Coraza C.T.A.</t>
  </si>
  <si>
    <t>DESCANSO</t>
  </si>
  <si>
    <t>DISPONIBLE</t>
  </si>
  <si>
    <t>VACACIONES</t>
  </si>
  <si>
    <t>CD</t>
  </si>
  <si>
    <t xml:space="preserve">CALAMIDAD </t>
  </si>
  <si>
    <t>In</t>
  </si>
  <si>
    <t>INCAPACIDAD</t>
  </si>
  <si>
    <t>X</t>
  </si>
  <si>
    <t>RETIRADO</t>
  </si>
  <si>
    <t>NR</t>
  </si>
  <si>
    <t>NO REMUNERADO</t>
  </si>
  <si>
    <t>PR</t>
  </si>
  <si>
    <t>PERMISO REMUNERADO</t>
  </si>
  <si>
    <t>NOCHE 12 HORAS</t>
  </si>
  <si>
    <t>N8</t>
  </si>
  <si>
    <t>NOCHE 8 HORAS</t>
  </si>
  <si>
    <t>DIA 12 HORAS</t>
  </si>
  <si>
    <t>DIA 8 HORAS</t>
  </si>
  <si>
    <t>UR SAN JUAN CAMPESTRE</t>
  </si>
  <si>
    <t>CACIQUE NIQUIA M1</t>
  </si>
  <si>
    <t>DUQUE A GONZALO I</t>
  </si>
  <si>
    <t>DE LA OSSA T JUAN C</t>
  </si>
  <si>
    <t>MORENO G JORGE W</t>
  </si>
  <si>
    <t>AGUDELO G ALIRIO DE J</t>
  </si>
  <si>
    <t>CR SAN ANGEL</t>
  </si>
  <si>
    <t>ANGEL D SONIA E</t>
  </si>
  <si>
    <t>06;00</t>
  </si>
  <si>
    <t>ED MIRADOR DEL NORTE</t>
  </si>
  <si>
    <t>ED FUNDADORES DOS</t>
  </si>
  <si>
    <t>ED FUNDADORES UNO</t>
  </si>
  <si>
    <t>PINEDA D ASIANO A</t>
  </si>
  <si>
    <t>ECHEVERRI O FREDY A</t>
  </si>
  <si>
    <t>CATAÑO LUIS F</t>
  </si>
  <si>
    <t>ACEVEDO G DUVAN G</t>
  </si>
  <si>
    <t>UR TORRES DEL MARQUES</t>
  </si>
  <si>
    <t xml:space="preserve">CORRALES R ELKIN D </t>
  </si>
  <si>
    <t>ZAPATA M YASMIN</t>
  </si>
  <si>
    <t>MARIN APOLINAR</t>
  </si>
  <si>
    <t>ZAPATA O NELSON D</t>
  </si>
  <si>
    <t>HINCAPIE H JESUS</t>
  </si>
  <si>
    <t>MURIEL A LUIS F</t>
  </si>
  <si>
    <t>DIAZ P OSCAR D</t>
  </si>
  <si>
    <t>PACHECO DEIMER D</t>
  </si>
  <si>
    <t>CATAÑO G RAMIRO A</t>
  </si>
  <si>
    <t>CIFUENTES Z HERNAN  J</t>
  </si>
  <si>
    <t>ALVAREZ ALIRIO</t>
  </si>
  <si>
    <t>ED MIRADOR DE ARANJUEZ</t>
  </si>
  <si>
    <t>ED MONTSERRAT</t>
  </si>
  <si>
    <t>GONZALEZ M MATIAS</t>
  </si>
  <si>
    <t>GUTIERRES CH EDUARD E</t>
  </si>
  <si>
    <t>NERIO S JUAN D</t>
  </si>
  <si>
    <t>TORREON DE SABANETA</t>
  </si>
  <si>
    <t>UR MIRADOR DE LAS FLORES</t>
  </si>
  <si>
    <t>AGUDELO R ERIKA</t>
  </si>
  <si>
    <t>CORREA DUVAN</t>
  </si>
  <si>
    <t>DURAN D ANDRES F</t>
  </si>
  <si>
    <t>CARTAGENA C SOR E</t>
  </si>
  <si>
    <t>ED EL CORAL</t>
  </si>
  <si>
    <t>ED TORRE MAGENTA</t>
  </si>
  <si>
    <t>ARBOLEDA V ILDA M</t>
  </si>
  <si>
    <t>URREA M CARLOS J</t>
  </si>
  <si>
    <t>HERAZO JOSE DAVID</t>
  </si>
  <si>
    <t>MORENO LUIS C</t>
  </si>
  <si>
    <t>PEREZ S RICHARD A</t>
  </si>
  <si>
    <t>CONDOMINIO PALMAZERA</t>
  </si>
  <si>
    <t>VERGARA A JONATHAN</t>
  </si>
  <si>
    <t>CZ</t>
  </si>
  <si>
    <t>QUINTAS DE VERACRUZ</t>
  </si>
  <si>
    <t>MARTINEZ CH INGRID DEL R</t>
  </si>
  <si>
    <t>ESCUDERO R JOSE A</t>
  </si>
  <si>
    <t>ROLDAN A VICTOR H</t>
  </si>
  <si>
    <t>BALLESTEROS A KATERINE</t>
  </si>
  <si>
    <t>PARRA R ANGEL JOEL</t>
  </si>
  <si>
    <t>DISPONIBLE EN DESCANSO</t>
  </si>
  <si>
    <t>EL EDEN</t>
  </si>
  <si>
    <t>DISPONIBLES</t>
  </si>
  <si>
    <t>MEJIA DUVAN O</t>
  </si>
  <si>
    <t>SEGURO C HEINER D</t>
  </si>
  <si>
    <t>USUGA CARLOS MARIO</t>
  </si>
  <si>
    <t xml:space="preserve">OBRA PIAMONTE </t>
  </si>
  <si>
    <t>PULGARIN D JOHN F</t>
  </si>
  <si>
    <t>HOLGUIN Q EDILVIER DE J</t>
  </si>
  <si>
    <t>GOMEZ H HERNAN D</t>
  </si>
  <si>
    <t>RESTREPO H ANDRES F</t>
  </si>
  <si>
    <t>TIRADO V JOSE A</t>
  </si>
  <si>
    <t>CASTAÑEDA A HIGINIO DE J</t>
  </si>
  <si>
    <t>OBRA DUBLIN</t>
  </si>
  <si>
    <t>MARTINEZ G JOHN J</t>
  </si>
  <si>
    <t>A</t>
  </si>
  <si>
    <t>06:OO</t>
  </si>
  <si>
    <t>DIA 8 HORAS O DISPONBLE 1</t>
  </si>
  <si>
    <t>DIA 8 HORAS O DISPONBLE 2</t>
  </si>
  <si>
    <t xml:space="preserve">MOSQUERA M YOJHAN C </t>
  </si>
  <si>
    <t>1L</t>
  </si>
  <si>
    <t>2M</t>
  </si>
  <si>
    <t>3W</t>
  </si>
  <si>
    <t>4J</t>
  </si>
  <si>
    <t>5V</t>
  </si>
  <si>
    <t>6S</t>
  </si>
  <si>
    <t>7D</t>
  </si>
  <si>
    <t>8L</t>
  </si>
  <si>
    <t>9M</t>
  </si>
  <si>
    <t>10W</t>
  </si>
  <si>
    <t>11J</t>
  </si>
  <si>
    <t>12V</t>
  </si>
  <si>
    <t>13S</t>
  </si>
  <si>
    <t>14D</t>
  </si>
  <si>
    <t>15L</t>
  </si>
  <si>
    <t>16M</t>
  </si>
  <si>
    <t>17W</t>
  </si>
  <si>
    <t>18J</t>
  </si>
  <si>
    <t>19V</t>
  </si>
  <si>
    <t>20S</t>
  </si>
  <si>
    <t>21D</t>
  </si>
  <si>
    <t>22L</t>
  </si>
  <si>
    <t>23M</t>
  </si>
  <si>
    <t>24W</t>
  </si>
  <si>
    <t>25J</t>
  </si>
  <si>
    <t>26V</t>
  </si>
  <si>
    <t>27S</t>
  </si>
  <si>
    <t>28D</t>
  </si>
  <si>
    <t>29L</t>
  </si>
  <si>
    <t>30M</t>
  </si>
  <si>
    <t>Columna1</t>
  </si>
  <si>
    <t>junio</t>
  </si>
  <si>
    <t>ZEA M CRISTOBAL A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</si>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</sst>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10"/>
      <color rgb="FF212934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b/>
      <u/>
      <sz val="10"/>
      <color theme="1"/>
      <name val="Calibri"/>
      <family val="2"/>
    </font>
    <font>
      <b/>
      <sz val="10"/>
      <color rgb="FF212934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93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/>
    <xf numFmtId="0" fontId="2" fillId="2" borderId="5" xfId="0" applyFont="1" applyFill="1" applyBorder="1"/>
    <xf numFmtId="0" fontId="2" fillId="2" borderId="0" xfId="0" applyFont="1" applyFill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20" fontId="0" fillId="0" borderId="10" xfId="0" applyNumberForma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20" fontId="0" fillId="3" borderId="10" xfId="0" applyNumberFormat="1" applyFill="1" applyBorder="1" applyAlignment="1">
      <alignment horizontal="center"/>
    </xf>
    <xf numFmtId="20" fontId="0" fillId="3" borderId="12" xfId="0" applyNumberFormat="1" applyFill="1" applyBorder="1" applyAlignment="1">
      <alignment horizontal="center"/>
    </xf>
    <xf numFmtId="20" fontId="0" fillId="3" borderId="13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2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2" fillId="2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0" fillId="3" borderId="1" xfId="0" applyFill="1" applyBorder="1"/>
    <xf numFmtId="0" fontId="12" fillId="0" borderId="1" xfId="0" applyFont="1" applyBorder="1" applyAlignment="1">
      <alignment horizontal="left"/>
    </xf>
    <xf numFmtId="0" fontId="0" fillId="0" borderId="14" xfId="0" applyBorder="1"/>
    <xf numFmtId="0" fontId="13" fillId="4" borderId="14" xfId="0" applyFont="1" applyFill="1" applyBorder="1"/>
    <xf numFmtId="0" fontId="0" fillId="5" borderId="14" xfId="0" applyFill="1" applyBorder="1"/>
    <xf numFmtId="0" fontId="12" fillId="0" borderId="14" xfId="0" applyFont="1" applyBorder="1" applyAlignment="1">
      <alignment horizontal="left"/>
    </xf>
    <xf numFmtId="0" fontId="0" fillId="3" borderId="14" xfId="0" applyFill="1" applyBorder="1"/>
    <xf numFmtId="0" fontId="0" fillId="7" borderId="1" xfId="0" applyFill="1" applyBorder="1"/>
    <xf numFmtId="0" fontId="0" fillId="4" borderId="1" xfId="0" applyFill="1" applyBorder="1"/>
    <xf numFmtId="0" fontId="0" fillId="8" borderId="1" xfId="0" applyFill="1" applyBorder="1"/>
    <xf numFmtId="0" fontId="2" fillId="4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13" fillId="4" borderId="1" xfId="0" applyFont="1" applyFill="1" applyBorder="1"/>
    <xf numFmtId="0" fontId="0" fillId="5" borderId="1" xfId="0" applyFill="1" applyBorder="1"/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3" borderId="0" xfId="0" applyFont="1" applyFill="1"/>
    <xf numFmtId="0" fontId="2" fillId="3" borderId="6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3" borderId="9" xfId="0" applyFont="1" applyFill="1" applyBorder="1"/>
    <xf numFmtId="0" fontId="2" fillId="3" borderId="8" xfId="0" applyFont="1" applyFill="1" applyBorder="1"/>
    <xf numFmtId="0" fontId="3" fillId="3" borderId="14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left" vertical="center"/>
    </xf>
    <xf numFmtId="0" fontId="0" fillId="3" borderId="15" xfId="0" applyFill="1" applyBorder="1"/>
    <xf numFmtId="0" fontId="0" fillId="0" borderId="1" xfId="0" applyBorder="1" applyAlignment="1">
      <alignment horizontal="left"/>
    </xf>
    <xf numFmtId="0" fontId="0" fillId="3" borderId="7" xfId="0" applyFill="1" applyBorder="1"/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0" fillId="0" borderId="7" xfId="0" applyBorder="1"/>
    <xf numFmtId="0" fontId="4" fillId="0" borderId="1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3" borderId="14" xfId="0" applyFont="1" applyFill="1" applyBorder="1" applyAlignment="1">
      <alignment vertical="center"/>
    </xf>
    <xf numFmtId="0" fontId="2" fillId="2" borderId="1" xfId="0" applyFont="1" applyFill="1" applyBorder="1"/>
    <xf numFmtId="0" fontId="7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0" borderId="12" xfId="0" applyFont="1" applyBorder="1"/>
    <xf numFmtId="0" fontId="12" fillId="6" borderId="1" xfId="0" applyFont="1" applyFill="1" applyBorder="1" applyAlignment="1">
      <alignment horizontal="left"/>
    </xf>
    <xf numFmtId="0" fontId="12" fillId="0" borderId="1" xfId="0" applyFont="1" applyBorder="1"/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7" fillId="0" borderId="1" xfId="2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0" fillId="3" borderId="2" xfId="0" applyFill="1" applyBorder="1"/>
    <xf numFmtId="0" fontId="0" fillId="3" borderId="4" xfId="0" applyFill="1" applyBorder="1"/>
    <xf numFmtId="0" fontId="0" fillId="3" borderId="3" xfId="0" applyFill="1" applyBorder="1"/>
    <xf numFmtId="0" fontId="18" fillId="3" borderId="12" xfId="0" applyFont="1" applyFill="1" applyBorder="1" applyAlignment="1">
      <alignment vertical="center" wrapText="1"/>
    </xf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5" fillId="0" borderId="14" xfId="0" applyFont="1" applyBorder="1" applyAlignment="1">
      <alignment vertical="top"/>
    </xf>
    <xf numFmtId="0" fontId="5" fillId="0" borderId="14" xfId="0" applyFont="1" applyBorder="1" applyAlignment="1">
      <alignment horizontal="left" vertical="top"/>
    </xf>
    <xf numFmtId="0" fontId="21" fillId="0" borderId="1" xfId="0" applyFont="1" applyBorder="1" applyAlignment="1">
      <alignment horizontal="left"/>
    </xf>
    <xf numFmtId="0" fontId="7" fillId="0" borderId="1" xfId="0" applyFont="1" applyBorder="1"/>
    <xf numFmtId="0" fontId="7" fillId="3" borderId="12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0" fillId="3" borderId="9" xfId="0" applyFill="1" applyBorder="1"/>
    <xf numFmtId="0" fontId="0" fillId="3" borderId="8" xfId="0" applyFill="1" applyBorder="1"/>
    <xf numFmtId="20" fontId="0" fillId="0" borderId="12" xfId="0" applyNumberFormat="1" applyBorder="1" applyAlignment="1">
      <alignment horizontal="center" vertical="top"/>
    </xf>
    <xf numFmtId="20" fontId="0" fillId="0" borderId="13" xfId="0" applyNumberFormat="1" applyBorder="1" applyAlignment="1">
      <alignment horizontal="center" vertical="top"/>
    </xf>
    <xf numFmtId="0" fontId="7" fillId="6" borderId="4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8" fillId="3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0" fillId="8" borderId="15" xfId="0" applyFill="1" applyBorder="1"/>
    <xf numFmtId="0" fontId="2" fillId="4" borderId="15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left" vertical="top"/>
    </xf>
    <xf numFmtId="0" fontId="0" fillId="0" borderId="3" xfId="0" applyBorder="1"/>
    <xf numFmtId="0" fontId="15" fillId="0" borderId="15" xfId="0" applyFont="1" applyBorder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left"/>
    </xf>
    <xf numFmtId="0" fontId="11" fillId="6" borderId="1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 vertical="top"/>
    </xf>
    <xf numFmtId="0" fontId="7" fillId="10" borderId="1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left"/>
    </xf>
    <xf numFmtId="0" fontId="7" fillId="11" borderId="15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left" vertical="center"/>
    </xf>
    <xf numFmtId="0" fontId="7" fillId="12" borderId="15" xfId="0" applyFont="1" applyFill="1" applyBorder="1" applyAlignment="1">
      <alignment horizontal="center"/>
    </xf>
    <xf numFmtId="0" fontId="7" fillId="12" borderId="15" xfId="0" applyFont="1" applyFill="1" applyBorder="1" applyAlignment="1">
      <alignment horizontal="left"/>
    </xf>
    <xf numFmtId="0" fontId="11" fillId="12" borderId="1" xfId="0" applyFont="1" applyFill="1" applyBorder="1"/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3" borderId="10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6" borderId="1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left" vertical="center"/>
    </xf>
    <xf numFmtId="0" fontId="11" fillId="5" borderId="17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 vertical="center"/>
    </xf>
    <xf numFmtId="0" fontId="7" fillId="13" borderId="16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3" borderId="12" xfId="0" applyFont="1" applyFill="1" applyBorder="1"/>
    <xf numFmtId="0" fontId="7" fillId="3" borderId="1" xfId="0" applyFont="1" applyFill="1" applyBorder="1"/>
    <xf numFmtId="0" fontId="14" fillId="3" borderId="15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/>
    </xf>
    <xf numFmtId="0" fontId="7" fillId="3" borderId="18" xfId="0" applyFont="1" applyFill="1" applyBorder="1" applyAlignment="1">
      <alignment horizontal="left" vertical="center"/>
    </xf>
    <xf numFmtId="0" fontId="11" fillId="3" borderId="15" xfId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0" fillId="3" borderId="15" xfId="0" applyFill="1" applyBorder="1" applyAlignment="1">
      <alignment horizontal="left"/>
    </xf>
    <xf numFmtId="0" fontId="11" fillId="3" borderId="1" xfId="0" applyFont="1" applyFill="1" applyBorder="1"/>
    <xf numFmtId="0" fontId="14" fillId="3" borderId="15" xfId="0" applyFont="1" applyFill="1" applyBorder="1" applyAlignment="1">
      <alignment vertical="center"/>
    </xf>
    <xf numFmtId="0" fontId="11" fillId="10" borderId="14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2" fillId="7" borderId="1" xfId="0" applyFont="1" applyFill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15" borderId="1" xfId="0" applyFont="1" applyFill="1" applyBorder="1"/>
    <xf numFmtId="0" fontId="7" fillId="16" borderId="15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left"/>
    </xf>
    <xf numFmtId="0" fontId="7" fillId="14" borderId="15" xfId="0" applyFont="1" applyFill="1" applyBorder="1" applyAlignment="1">
      <alignment horizontal="center"/>
    </xf>
    <xf numFmtId="0" fontId="7" fillId="14" borderId="15" xfId="0" applyFont="1" applyFill="1" applyBorder="1" applyAlignment="1">
      <alignment horizontal="left"/>
    </xf>
    <xf numFmtId="0" fontId="11" fillId="14" borderId="1" xfId="0" applyFont="1" applyFill="1" applyBorder="1"/>
    <xf numFmtId="0" fontId="7" fillId="17" borderId="1" xfId="0" applyFont="1" applyFill="1" applyBorder="1" applyAlignment="1">
      <alignment horizontal="center"/>
    </xf>
    <xf numFmtId="0" fontId="7" fillId="14" borderId="12" xfId="0" applyFont="1" applyFill="1" applyBorder="1"/>
    <xf numFmtId="0" fontId="11" fillId="1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 vertical="center"/>
    </xf>
    <xf numFmtId="0" fontId="7" fillId="12" borderId="1" xfId="0" applyFont="1" applyFill="1" applyBorder="1"/>
    <xf numFmtId="0" fontId="15" fillId="0" borderId="1" xfId="0" applyFont="1" applyBorder="1" applyAlignment="1">
      <alignment horizontal="center"/>
    </xf>
    <xf numFmtId="0" fontId="5" fillId="19" borderId="1" xfId="0" applyFont="1" applyFill="1" applyBorder="1" applyAlignment="1">
      <alignment horizontal="left" vertical="top"/>
    </xf>
    <xf numFmtId="0" fontId="24" fillId="19" borderId="1" xfId="0" applyFont="1" applyFill="1" applyBorder="1" applyAlignment="1">
      <alignment horizontal="left" vertical="top"/>
    </xf>
    <xf numFmtId="0" fontId="5" fillId="19" borderId="10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12" borderId="16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20" fillId="3" borderId="1" xfId="3" applyFont="1" applyFill="1" applyBorder="1" applyAlignment="1">
      <alignment horizontal="center"/>
    </xf>
    <xf numFmtId="0" fontId="11" fillId="20" borderId="1" xfId="0" applyFont="1" applyFill="1" applyBorder="1" applyAlignment="1">
      <alignment horizontal="left" vertical="center"/>
    </xf>
    <xf numFmtId="0" fontId="11" fillId="20" borderId="14" xfId="0" applyFont="1" applyFill="1" applyBorder="1" applyAlignment="1">
      <alignment horizontal="left" vertical="center"/>
    </xf>
    <xf numFmtId="0" fontId="11" fillId="21" borderId="14" xfId="0" applyFont="1" applyFill="1" applyBorder="1" applyAlignment="1">
      <alignment horizontal="left" vertical="center"/>
    </xf>
    <xf numFmtId="0" fontId="22" fillId="10" borderId="19" xfId="0" applyFont="1" applyFill="1" applyBorder="1" applyAlignment="1">
      <alignment horizontal="center" vertical="center" wrapText="1"/>
    </xf>
    <xf numFmtId="0" fontId="22" fillId="10" borderId="20" xfId="0" applyFont="1" applyFill="1" applyBorder="1" applyAlignment="1">
      <alignment horizontal="center" vertical="center" wrapText="1"/>
    </xf>
    <xf numFmtId="0" fontId="22" fillId="10" borderId="23" xfId="0" applyFont="1" applyFill="1" applyBorder="1" applyAlignment="1">
      <alignment horizontal="center" vertical="center" wrapText="1"/>
    </xf>
    <xf numFmtId="0" fontId="22" fillId="10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6" fillId="12" borderId="19" xfId="0" applyFont="1" applyFill="1" applyBorder="1" applyAlignment="1">
      <alignment horizontal="center" vertical="center" wrapText="1"/>
    </xf>
    <xf numFmtId="0" fontId="26" fillId="12" borderId="20" xfId="0" applyFont="1" applyFill="1" applyBorder="1" applyAlignment="1">
      <alignment horizontal="center" vertical="center" wrapText="1"/>
    </xf>
    <xf numFmtId="0" fontId="26" fillId="12" borderId="21" xfId="0" applyFont="1" applyFill="1" applyBorder="1" applyAlignment="1">
      <alignment horizontal="center" vertical="center" wrapText="1"/>
    </xf>
    <xf numFmtId="0" fontId="26" fillId="12" borderId="22" xfId="0" applyFont="1" applyFill="1" applyBorder="1" applyAlignment="1">
      <alignment horizontal="center" vertical="center" wrapText="1"/>
    </xf>
    <xf numFmtId="0" fontId="26" fillId="12" borderId="23" xfId="0" applyFont="1" applyFill="1" applyBorder="1" applyAlignment="1">
      <alignment horizontal="center" vertical="center" wrapText="1"/>
    </xf>
    <xf numFmtId="0" fontId="26" fillId="12" borderId="24" xfId="0" applyFont="1" applyFill="1" applyBorder="1" applyAlignment="1">
      <alignment horizontal="center" vertical="center" wrapText="1"/>
    </xf>
    <xf numFmtId="20" fontId="0" fillId="3" borderId="10" xfId="0" applyNumberForma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20" fontId="0" fillId="3" borderId="12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20" fontId="0" fillId="3" borderId="13" xfId="0" applyNumberFormat="1" applyFill="1" applyBorder="1" applyAlignment="1">
      <alignment horizontal="center"/>
    </xf>
    <xf numFmtId="20" fontId="9" fillId="3" borderId="10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14" xfId="0" applyFont="1" applyFill="1" applyBorder="1" applyAlignment="1">
      <alignment horizontal="center"/>
    </xf>
    <xf numFmtId="20" fontId="9" fillId="0" borderId="10" xfId="0" applyNumberFormat="1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0" borderId="10" xfId="0" applyNumberForma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2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20" fontId="2" fillId="0" borderId="10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20" fontId="2" fillId="3" borderId="10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</cellXfs>
  <cellStyles count="4">
    <cellStyle name="Hyperlink" xfId="3" xr:uid="{FFE09D19-08AB-48E7-B948-C2443FE3BD06}"/>
    <cellStyle name="Normal" xfId="0" builtinId="0"/>
    <cellStyle name="Normal 2 2 5" xfId="2" xr:uid="{7960347D-46D3-4337-AB74-55C189D6181D}"/>
    <cellStyle name="Normal 2 2 6" xfId="1" xr:uid="{71537C66-B4F3-45C2-99E5-1D97D90C1F07}"/>
  </cellStyles>
  <dxfs count="80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D40AD-DCA8-47B7-B1B2-76CCCA62FF41}" name="Tabla1" displayName="Tabla1" ref="A7:AQ17" totalsRowShown="0" headerRowDxfId="803" dataDxfId="802" tableBorderDxfId="801">
  <autoFilter ref="A7:AQ17" xr:uid="{BC9D40AD-DCA8-47B7-B1B2-76CCCA62FF41}"/>
  <tableColumns count="43">
    <tableColumn id="1" xr3:uid="{A7006ED5-EBDF-42AC-9572-F0C45667958D}" name="CLIENTE:"/>
    <tableColumn id="2" xr3:uid="{504F88E5-22C1-4FE6-BDEE-47572632466B}" name="COD PUESTO"/>
    <tableColumn id="3" xr3:uid="{D0941D63-4AF9-4426-9CD3-BC4EFA546164}" name="ZONA "/>
    <tableColumn id="4" xr3:uid="{83ACFB4A-1B77-4D09-B440-B0A4276A48DF}" name="DIRECCION"/>
    <tableColumn id="5" xr3:uid="{3D874220-DB0F-4087-8BE6-7B99E9941937}" name="TIPO DE SERVICIO" dataDxfId="800"/>
    <tableColumn id="6" xr3:uid="{B2784DD7-9A78-4F3F-AC65-A91BEB1A830D}" name="CEDULA " dataDxfId="799"/>
    <tableColumn id="7" xr3:uid="{EC634625-6C48-408A-94F6-F69B643C5463}" name="APELLIDOS Y NOMBRES " dataDxfId="798"/>
    <tableColumn id="8" xr3:uid="{3A435274-01C2-4265-9E0C-7C400C74729F}" name="AÑO" dataDxfId="797"/>
    <tableColumn id="9" xr3:uid="{5E40D79C-AB0A-4390-A399-B25FC9069611}" name="MES" dataDxfId="796"/>
    <tableColumn id="10" xr3:uid="{FD65E0BD-1216-40DF-9040-07BA3F151A8A}" name="1L" dataDxfId="795"/>
    <tableColumn id="11" xr3:uid="{490A7142-C54D-4658-8774-EC8D116A5B7D}" name="2M" dataDxfId="794"/>
    <tableColumn id="12" xr3:uid="{2A0968F3-2DFC-4051-9D63-062CC49A0965}" name="3W" dataDxfId="793"/>
    <tableColumn id="13" xr3:uid="{DEE58E01-2EB6-48D1-B5BD-A02F2888B7DE}" name="4J" dataDxfId="792"/>
    <tableColumn id="14" xr3:uid="{BFEB318E-09F0-48BE-B94B-9219F8D27568}" name="5V" dataDxfId="791"/>
    <tableColumn id="15" xr3:uid="{6E668002-6D1D-4325-921D-C2F0098B814C}" name="6S" dataDxfId="790"/>
    <tableColumn id="16" xr3:uid="{ECAD3B2E-4E1F-421E-B7BF-C04DA9D36FB2}" name="7D" dataDxfId="789"/>
    <tableColumn id="17" xr3:uid="{87ADEE44-9DE7-486E-992C-592631B8DB0B}" name="8L" dataDxfId="788"/>
    <tableColumn id="18" xr3:uid="{15664F1A-0014-4A90-9EBA-0111F5643154}" name="9M" dataDxfId="787"/>
    <tableColumn id="19" xr3:uid="{26CBE71F-9BFF-4B28-882A-46AAE805C347}" name="10W" dataDxfId="786"/>
    <tableColumn id="20" xr3:uid="{DA5A76AB-939F-412E-8A2C-21EF87FE30AD}" name="11J" dataDxfId="785"/>
    <tableColumn id="21" xr3:uid="{DA22B6B4-BF1B-443C-B2B0-D897D6CD63C2}" name="12V" dataDxfId="784"/>
    <tableColumn id="22" xr3:uid="{C73619F6-0AE9-4B8A-806D-F87EF464E5DA}" name="13S" dataDxfId="783"/>
    <tableColumn id="23" xr3:uid="{689AD10F-D16E-4B5D-BE7F-BC45AACD6B15}" name="14D" dataDxfId="782"/>
    <tableColumn id="24" xr3:uid="{AF6FAC29-4DB2-4FF1-B456-A9738A642F09}" name="15L" dataDxfId="781"/>
    <tableColumn id="25" xr3:uid="{6947F043-829E-47DF-AFDA-4B6D776F12AD}" name="16M" dataDxfId="780"/>
    <tableColumn id="26" xr3:uid="{BC7A3AEE-DE73-4F59-85C3-AB7CDA4E73BC}" name="17W" dataDxfId="779"/>
    <tableColumn id="27" xr3:uid="{1DD138C3-2BA9-4450-8604-69DE1171BA55}" name="18J" dataDxfId="778"/>
    <tableColumn id="28" xr3:uid="{A492707B-672B-4D31-B3F8-5A0796B85923}" name="19V" dataDxfId="777"/>
    <tableColumn id="29" xr3:uid="{19A51355-588A-4A2E-A1DF-14B7FDBFEEB3}" name="20S" dataDxfId="776"/>
    <tableColumn id="30" xr3:uid="{1D758596-3269-4D88-A745-EEBDDD5E865F}" name="21D" dataDxfId="775"/>
    <tableColumn id="31" xr3:uid="{5D6B24E1-B075-454F-B129-B01422CD584F}" name="22L" dataDxfId="774"/>
    <tableColumn id="32" xr3:uid="{A049DD91-E9A4-4FA7-A90D-B1B96860B244}" name="23M" dataDxfId="773"/>
    <tableColumn id="33" xr3:uid="{B22B4887-635E-4F7D-AE36-C2A8641861CA}" name="24W" dataDxfId="772"/>
    <tableColumn id="34" xr3:uid="{5A1710A9-1DCA-40E7-A2C9-AE7FD70B96EB}" name="25J" dataDxfId="771"/>
    <tableColumn id="35" xr3:uid="{83A7BB60-2E39-43A6-AE9F-159C30B1C58A}" name="26V" dataDxfId="770"/>
    <tableColumn id="36" xr3:uid="{55148747-9C9F-4F56-B48A-5D2699D02893}" name="27S" dataDxfId="769"/>
    <tableColumn id="37" xr3:uid="{19D58865-0D1A-4EF9-9D19-EC486E696E13}" name="28D" dataDxfId="768"/>
    <tableColumn id="38" xr3:uid="{66676338-6352-441E-9B8D-569EA3F778B8}" name="29L" dataDxfId="767"/>
    <tableColumn id="39" xr3:uid="{66A81CDE-1645-4945-BD12-09C21DB93031}" name="30M" dataDxfId="766"/>
    <tableColumn id="40" xr3:uid="{618EA7B9-1FD7-41F2-996A-DB771D96EEEE}" name="Columna1" dataDxfId="765"/>
    <tableColumn id="41" xr3:uid="{2A534EB2-582F-4115-B93E-AC353CC676B0}" name="T. DIA" dataDxfId="764">
      <calculatedColumnFormula>COUNTIF(Tabla1[[#This Row],[1L]:[Columna1]],"D12")</calculatedColumnFormula>
    </tableColumn>
    <tableColumn id="42" xr3:uid="{4E4CD57B-6BB3-45F3-9BF9-7A2E75085FF7}" name="T. NOCHE" dataDxfId="763">
      <calculatedColumnFormula>COUNTIF(Tabla1[[#This Row],[1L]:[Columna1]],"N12")</calculatedColumnFormula>
    </tableColumn>
    <tableColumn id="43" xr3:uid="{740FDC0C-427B-4058-BDE1-DEB576ABBE4F}" name="T. DESCANSOS" dataDxfId="762">
      <calculatedColumnFormula>COUNTBLANK(Tabla1[[#This Row],[1L]:[Columna1]])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822B6B-A3B6-4F05-A441-D2A553C76E11}" name="Tabla18" displayName="Tabla18" ref="A39:AQ47" totalsRowShown="0" headerRowDxfId="761" dataDxfId="760" tableBorderDxfId="759">
  <autoFilter ref="A39:AQ47" xr:uid="{26822B6B-A3B6-4F05-A441-D2A553C76E11}"/>
  <tableColumns count="43">
    <tableColumn id="1" xr3:uid="{9DC2DACB-8158-4C03-A6E7-4128D21C35F5}" name="CLIENTE:"/>
    <tableColumn id="2" xr3:uid="{0CD023A1-3A35-457D-AD29-FF7C4BD63758}" name="COD PUESTO"/>
    <tableColumn id="3" xr3:uid="{8A749BC7-476E-4F4A-A42D-B458708D71BC}" name="ZONA "/>
    <tableColumn id="4" xr3:uid="{12F63D42-D326-4593-AC3B-BEF8951C4583}" name="DIRECCION"/>
    <tableColumn id="5" xr3:uid="{61AD3C62-233C-4855-85BC-A60B8A84FA03}" name="TIPO DE SERVICIO" dataDxfId="758"/>
    <tableColumn id="6" xr3:uid="{17E6B817-57CE-4109-BFE3-F1C9D6F630AD}" name="CEDULA " dataDxfId="757"/>
    <tableColumn id="7" xr3:uid="{78E30874-B9A1-415B-99D8-6599868083E5}" name="APELLIDOS Y NOMBRES " dataDxfId="756"/>
    <tableColumn id="8" xr3:uid="{8F0E9CCE-2C6D-4B1B-9CC6-9C0212AFBE53}" name="AÑO" dataDxfId="755"/>
    <tableColumn id="9" xr3:uid="{E538279C-9C3B-401D-8C07-8D97587FBB2F}" name="MES" dataDxfId="754"/>
    <tableColumn id="10" xr3:uid="{E96C8C16-D613-4538-A8FA-036461EF0B39}" name="1L" dataDxfId="753"/>
    <tableColumn id="11" xr3:uid="{0013327C-5384-4B61-8737-60035828FABB}" name="2M" dataDxfId="752"/>
    <tableColumn id="12" xr3:uid="{C1DC9C53-86EA-4C0B-86AC-45A7CF172D04}" name="3W" dataDxfId="751"/>
    <tableColumn id="13" xr3:uid="{197CCC08-28D2-454C-825A-067541AB2818}" name="4J" dataDxfId="750"/>
    <tableColumn id="14" xr3:uid="{F13907D1-A0D3-41D2-8259-F7DBC7A322E6}" name="5V" dataDxfId="749"/>
    <tableColumn id="15" xr3:uid="{3206BFBA-3EE1-4502-BB8B-28777204D68E}" name="6S" dataDxfId="748"/>
    <tableColumn id="16" xr3:uid="{130037A7-A514-44E1-BEBC-F470727F8E4C}" name="7D" dataDxfId="747"/>
    <tableColumn id="17" xr3:uid="{961DF82C-F876-44D6-8478-FD2FBCA50541}" name="8L" dataDxfId="746"/>
    <tableColumn id="18" xr3:uid="{C8505680-DB3D-4CE2-AF13-BFAE22B9E51A}" name="9M" dataDxfId="745"/>
    <tableColumn id="19" xr3:uid="{503A5294-C206-4AFA-96A1-A9306F9D5AF9}" name="10W" dataDxfId="744"/>
    <tableColumn id="20" xr3:uid="{9B37C46F-0EFC-4683-B9C9-FA0A975EC8A4}" name="11J" dataDxfId="743"/>
    <tableColumn id="21" xr3:uid="{4AD4DBAE-176C-4756-BC8C-64932A099B2A}" name="12V" dataDxfId="742"/>
    <tableColumn id="22" xr3:uid="{6277613A-00BE-4A5B-8936-B4E6FFDA53A9}" name="13S" dataDxfId="741"/>
    <tableColumn id="23" xr3:uid="{856F1C44-8F0C-48DA-89F7-2EAC0B6086E4}" name="14D" dataDxfId="740"/>
    <tableColumn id="24" xr3:uid="{610E8F63-951F-4E27-8825-F6C6F9182952}" name="15L" dataDxfId="739"/>
    <tableColumn id="25" xr3:uid="{73B8229F-3C52-4103-A96D-C80FB7D83F12}" name="16M" dataDxfId="738"/>
    <tableColumn id="26" xr3:uid="{C460B8C4-94A5-4196-B250-470B2BAD80F6}" name="17W" dataDxfId="737"/>
    <tableColumn id="27" xr3:uid="{5510FEA8-F1B6-4A13-A7AE-44760AAF26C9}" name="18J" dataDxfId="736"/>
    <tableColumn id="28" xr3:uid="{DE34D9EB-E311-4D72-885A-E76A0CEE9BFE}" name="19V" dataDxfId="735"/>
    <tableColumn id="29" xr3:uid="{B90886FA-9CA2-470F-8EF3-765577339540}" name="20S" dataDxfId="734"/>
    <tableColumn id="30" xr3:uid="{5C9642DE-AFF6-4CFD-AF70-2B17F75B011C}" name="21D" dataDxfId="733"/>
    <tableColumn id="31" xr3:uid="{1286306B-7C6D-4785-AA29-F060FDC54AF9}" name="22L" dataDxfId="732"/>
    <tableColumn id="32" xr3:uid="{725CC3A7-C6C0-4A84-9998-99DD4F944B78}" name="23M" dataDxfId="731"/>
    <tableColumn id="33" xr3:uid="{7902E1FC-58E9-4B76-B4A7-8F9EDA4FD6DC}" name="24W" dataDxfId="730"/>
    <tableColumn id="34" xr3:uid="{A9A13197-4890-40B9-906F-21C784C5230D}" name="25J" dataDxfId="729"/>
    <tableColumn id="35" xr3:uid="{81A39D52-2F8F-4517-AFB4-5712C4C5267A}" name="26V" dataDxfId="728"/>
    <tableColumn id="36" xr3:uid="{33635D10-3FEB-4E3B-80FB-5B9DDFE84C8F}" name="27S" dataDxfId="727"/>
    <tableColumn id="37" xr3:uid="{9E0EDC32-9F03-46C2-B547-2D2F842A32EF}" name="28D" dataDxfId="726"/>
    <tableColumn id="38" xr3:uid="{07462421-5A23-471A-A216-7A0EE7D5A48C}" name="29L" dataDxfId="725"/>
    <tableColumn id="39" xr3:uid="{221C610D-77BF-47F0-B9C1-172D9CDBB438}" name="30M" dataDxfId="724"/>
    <tableColumn id="40" xr3:uid="{DC45C116-C585-4392-AC02-CC75911A1E4B}" name="Columna1" dataDxfId="723"/>
    <tableColumn id="41" xr3:uid="{10FA8FED-59FB-444A-9295-FB3761F3E5F6}" name="T. DIA" dataDxfId="722">
      <calculatedColumnFormula>COUNTIF(Tabla18[[#This Row],[1L]:[Columna1]],"D12")</calculatedColumnFormula>
    </tableColumn>
    <tableColumn id="42" xr3:uid="{50D2572D-1834-4051-9CCA-F21CC5FFA2CA}" name="T. NOCHE" dataDxfId="721">
      <calculatedColumnFormula>COUNTIF(Tabla18[[#This Row],[1L]:[Columna1]],"N12")</calculatedColumnFormula>
    </tableColumn>
    <tableColumn id="43" xr3:uid="{7B475269-8D51-452A-A0B7-7851F6D63F84}" name="T. DESCANSOS" dataDxfId="720">
      <calculatedColumnFormula>COUNTBLANK(Tabla18[[#This Row],[1L]:[Columna1]])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7DF44-AB93-4848-8441-68BD5F88584D}" name="Tabla110" displayName="Tabla110" ref="A68:AQ76" totalsRowShown="0" headerRowDxfId="719" dataDxfId="718" tableBorderDxfId="717">
  <autoFilter ref="A68:AQ76" xr:uid="{BE77DF44-AB93-4848-8441-68BD5F88584D}"/>
  <tableColumns count="43">
    <tableColumn id="1" xr3:uid="{EA70BAB8-33E0-4715-B0ED-59FCE247B9B1}" name="CLIENTE:"/>
    <tableColumn id="2" xr3:uid="{C0D300E6-BF33-4A82-8EA2-4EDF5D14AC21}" name="COD PUESTO"/>
    <tableColumn id="3" xr3:uid="{5CC92AF1-C3DB-44E3-858E-F42D16BE1F5E}" name="ZONA "/>
    <tableColumn id="4" xr3:uid="{52242DE5-32BF-47BC-B23E-CF5C209748EE}" name="DIRECCION"/>
    <tableColumn id="5" xr3:uid="{6EB51D3E-9A59-444B-84DE-972CFDA08379}" name="TIPO DE SERVICIO"/>
    <tableColumn id="6" xr3:uid="{2C7BE223-0170-4BB0-83CF-1A210FF1FE9A}" name="CEDULA " dataDxfId="716"/>
    <tableColumn id="7" xr3:uid="{EDBA714F-F055-4332-96DE-B9AC119D7274}" name="APELLIDOS Y NOMBRES " dataDxfId="715"/>
    <tableColumn id="8" xr3:uid="{415E6E50-08D4-4781-9859-632AE9D5F9FC}" name="AÑO" dataDxfId="714"/>
    <tableColumn id="9" xr3:uid="{313E16EB-9B36-4C0B-9896-C30839067AAA}" name="MES" dataDxfId="713"/>
    <tableColumn id="10" xr3:uid="{2EDC455D-88B2-4832-AFE4-9479EB0F4DE9}" name="1L" dataDxfId="712"/>
    <tableColumn id="11" xr3:uid="{4E15A707-39A4-421D-A060-1A4C904AF3C9}" name="2M" dataDxfId="711"/>
    <tableColumn id="12" xr3:uid="{6F9816D0-3132-4980-A044-EB8D850B7374}" name="3W" dataDxfId="710"/>
    <tableColumn id="13" xr3:uid="{4DDE9CB1-7DBC-4773-8314-CB1E6F67DA7B}" name="4J" dataDxfId="709"/>
    <tableColumn id="14" xr3:uid="{9BFFBBCC-4DF9-47B5-A815-A26ABCD2E38C}" name="5V" dataDxfId="708"/>
    <tableColumn id="15" xr3:uid="{6FAAD3D8-3C1F-463B-82B3-E740BAB2B41E}" name="6S" dataDxfId="707"/>
    <tableColumn id="16" xr3:uid="{D22655DD-2130-4576-82C0-6ABCCFC89A40}" name="7D" dataDxfId="706"/>
    <tableColumn id="17" xr3:uid="{59F046CA-D5F6-482B-AA50-77AA00C88399}" name="8L" dataDxfId="705"/>
    <tableColumn id="18" xr3:uid="{6FB691B0-AE74-4062-B26E-38DD3789AF0E}" name="9M" dataDxfId="704"/>
    <tableColumn id="19" xr3:uid="{1168C295-3DB9-4DE4-A889-5AB8B4873F69}" name="10W" dataDxfId="703"/>
    <tableColumn id="20" xr3:uid="{A5FCACEC-6A16-45C1-8A41-A26CF388A772}" name="11J" dataDxfId="702"/>
    <tableColumn id="21" xr3:uid="{E3400459-43F8-4E1B-8FBC-32827FE0A3ED}" name="12V" dataDxfId="701"/>
    <tableColumn id="22" xr3:uid="{1AA0D126-E15A-44B3-9F7A-D0D6E29CFDBA}" name="13S" dataDxfId="700"/>
    <tableColumn id="23" xr3:uid="{D50EDE2D-CB70-4379-84DE-E70882CE3918}" name="14D" dataDxfId="699"/>
    <tableColumn id="24" xr3:uid="{5938FB46-06B7-4A49-B504-AD1E58A7AD57}" name="15L" dataDxfId="698"/>
    <tableColumn id="25" xr3:uid="{92C9EA8C-9E9B-4A29-97E4-C06A0AF7997B}" name="16M" dataDxfId="697"/>
    <tableColumn id="26" xr3:uid="{70088E1A-15B2-408B-A563-463474E4519D}" name="17W" dataDxfId="696"/>
    <tableColumn id="27" xr3:uid="{8F6BDB74-28BA-41F8-90FD-D40F3A54BA9A}" name="18J" dataDxfId="695"/>
    <tableColumn id="28" xr3:uid="{222EE187-D63F-42AE-815F-EB8178FF15B1}" name="19V" dataDxfId="694"/>
    <tableColumn id="29" xr3:uid="{7DCA771A-7C67-47FD-B1B2-EF2DCC5FBE97}" name="20S" dataDxfId="693"/>
    <tableColumn id="30" xr3:uid="{81B46117-245D-4661-9CFE-AFB4D3D0C293}" name="21D" dataDxfId="692"/>
    <tableColumn id="31" xr3:uid="{65459654-BCAE-4254-8208-50866A620286}" name="22L" dataDxfId="691"/>
    <tableColumn id="32" xr3:uid="{9A6F8754-94ED-4A80-BB3E-51B3C8400599}" name="23M" dataDxfId="690"/>
    <tableColumn id="33" xr3:uid="{785AF39D-5D6C-44EB-BD79-172970E4EEFB}" name="24W" dataDxfId="689"/>
    <tableColumn id="34" xr3:uid="{E828324B-3E15-4175-91E1-C7FD933172A4}" name="25J" dataDxfId="688"/>
    <tableColumn id="35" xr3:uid="{B91AB16C-50B6-4903-A76E-98F59D7673FC}" name="26V" dataDxfId="687"/>
    <tableColumn id="36" xr3:uid="{1CCF0240-8A13-4B2B-86F2-969D58626AC5}" name="27S" dataDxfId="686"/>
    <tableColumn id="37" xr3:uid="{9FAA8DDB-758E-4CAF-9EED-18351158C847}" name="28D" dataDxfId="685"/>
    <tableColumn id="38" xr3:uid="{9053B474-63CF-4A75-B6A2-D484073095A3}" name="29L" dataDxfId="684"/>
    <tableColumn id="39" xr3:uid="{ACB51FB4-B35A-4272-A28A-B58FE3B1B605}" name="30M" dataDxfId="683"/>
    <tableColumn id="40" xr3:uid="{E24E0274-C96E-4383-B442-9F869657B433}" name="Columna1" dataDxfId="682"/>
    <tableColumn id="41" xr3:uid="{0AEF974F-4CE8-415E-A561-3B5AB7296DD2}" name="T. DIA" dataDxfId="681">
      <calculatedColumnFormula>COUNTIF(Tabla110[[#This Row],[1L]:[Columna1]],"D12")</calculatedColumnFormula>
    </tableColumn>
    <tableColumn id="42" xr3:uid="{A5621661-E209-452C-8918-AE5CD64FE92E}" name="T. NOCHE" dataDxfId="680">
      <calculatedColumnFormula>COUNTIF(Tabla110[[#This Row],[1L]:[Columna1]],"N12")</calculatedColumnFormula>
    </tableColumn>
    <tableColumn id="43" xr3:uid="{42126222-628A-40C4-B86B-2A9FD1B96669}" name="T. DESCANSOS" dataDxfId="679">
      <calculatedColumnFormula>COUNTBLANK(Tabla110[[#This Row],[1L]:[Columna1]])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EA7FD0-7671-492C-91A7-6467C40146C7}" name="Tabla112" displayName="Tabla112" ref="A100:AQ111" totalsRowShown="0" headerRowDxfId="678" dataDxfId="677" tableBorderDxfId="676">
  <autoFilter ref="A100:AQ111" xr:uid="{13EA7FD0-7671-492C-91A7-6467C40146C7}"/>
  <tableColumns count="43">
    <tableColumn id="1" xr3:uid="{4C6D14A1-155F-4810-B01A-6064D4523985}" name="CLIENTE:"/>
    <tableColumn id="2" xr3:uid="{83425B19-C7D2-4895-94EF-93F938CC4523}" name="COD PUESTO"/>
    <tableColumn id="3" xr3:uid="{92061605-D040-4AA7-A0C6-6F6B43337A6A}" name="ZONA "/>
    <tableColumn id="4" xr3:uid="{BF632F26-ED76-46F4-B0EB-CFE7D970D337}" name="DIRECCION"/>
    <tableColumn id="5" xr3:uid="{4AF63BD3-A770-4480-9110-842C05C6F580}" name="TIPO DE SERVICIO"/>
    <tableColumn id="6" xr3:uid="{10DF5246-035C-43C7-861A-91C1DAEB41A3}" name="CEDULA " dataDxfId="675"/>
    <tableColumn id="7" xr3:uid="{1A44C474-E713-4F16-833D-53E51972C66E}" name="APELLIDOS Y NOMBRES " dataDxfId="674"/>
    <tableColumn id="8" xr3:uid="{E7BB5F61-FD5C-432E-82A1-7EE8D0B88DF5}" name="AÑO" dataDxfId="673"/>
    <tableColumn id="9" xr3:uid="{EFDBA11F-86A3-4D72-BC1B-FDB73B75BA77}" name="MES" dataDxfId="672"/>
    <tableColumn id="10" xr3:uid="{68262CCC-C6CA-4FBF-B03A-3EFA5C43FB4A}" name="1L" dataDxfId="671"/>
    <tableColumn id="11" xr3:uid="{8DB6BE6C-3006-41F5-B94A-86C25D75C896}" name="2M" dataDxfId="670"/>
    <tableColumn id="12" xr3:uid="{74AEF042-CE5D-4355-B512-53C182C0CA89}" name="3W" dataDxfId="669"/>
    <tableColumn id="13" xr3:uid="{336D3B8C-BB4B-439C-82D5-8CF8FE69A8A6}" name="4J" dataDxfId="668"/>
    <tableColumn id="14" xr3:uid="{3FE29939-9FCB-405B-8626-76AED60882D7}" name="5V" dataDxfId="667"/>
    <tableColumn id="15" xr3:uid="{F6AC97C5-9C45-4DB1-ADFB-4B875057D689}" name="6S" dataDxfId="666"/>
    <tableColumn id="16" xr3:uid="{21AAC6DB-97BE-4D79-82F7-3B33FF04134A}" name="7D" dataDxfId="665"/>
    <tableColumn id="17" xr3:uid="{9E101892-63B8-458C-8B3C-488ABA8BBF19}" name="8L" dataDxfId="664"/>
    <tableColumn id="18" xr3:uid="{FF986978-747D-429D-AD51-9FE1FC24763B}" name="9M" dataDxfId="663"/>
    <tableColumn id="19" xr3:uid="{BCD6B313-244D-4361-BD5C-A4300D4450FD}" name="10W" dataDxfId="662"/>
    <tableColumn id="20" xr3:uid="{1E23089E-9BDB-45C4-8F55-BD79C81ADDA9}" name="11J" dataDxfId="661"/>
    <tableColumn id="21" xr3:uid="{0750E705-B040-4C6B-B0C1-3F7053231695}" name="12V" dataDxfId="660"/>
    <tableColumn id="22" xr3:uid="{92BE6653-600C-480D-A137-88297C2FE0BF}" name="13S" dataDxfId="659"/>
    <tableColumn id="23" xr3:uid="{F241C24B-9532-4E5F-A1BD-6132BDFDA8EF}" name="14D" dataDxfId="658"/>
    <tableColumn id="24" xr3:uid="{D952A2A8-8D4B-43E7-AF91-8015E0472A64}" name="15L" dataDxfId="657"/>
    <tableColumn id="25" xr3:uid="{4CE00284-025F-4B0F-9B79-1E9D626E49FC}" name="16M" dataDxfId="656"/>
    <tableColumn id="26" xr3:uid="{91BE78B8-A8B5-40D3-AC53-4E3F23A53C9D}" name="17W" dataDxfId="655"/>
    <tableColumn id="27" xr3:uid="{77673B77-6434-4F8C-9865-A77B478C3665}" name="18J" dataDxfId="654"/>
    <tableColumn id="28" xr3:uid="{44C073E8-1B9A-4A0C-BB51-8F544B657A8B}" name="19V" dataDxfId="653"/>
    <tableColumn id="29" xr3:uid="{26E23925-14E8-4AE9-8A25-980422691F26}" name="20S" dataDxfId="652"/>
    <tableColumn id="30" xr3:uid="{5AE1744D-E3F8-4D04-929A-94E1C74F512F}" name="21D" dataDxfId="651"/>
    <tableColumn id="31" xr3:uid="{BD67EBFE-6F2F-4D44-BF8A-E742BE878CBE}" name="22L" dataDxfId="650"/>
    <tableColumn id="32" xr3:uid="{4AE79A94-4DFF-4BD7-ACB2-99DECC1A0D47}" name="23M" dataDxfId="649"/>
    <tableColumn id="33" xr3:uid="{7476821A-5E75-400B-9DF6-448E9AAF78BF}" name="24W" dataDxfId="648"/>
    <tableColumn id="34" xr3:uid="{98F62EFC-D000-4E42-BF55-9D35D003C4E3}" name="25J" dataDxfId="647"/>
    <tableColumn id="35" xr3:uid="{407AE014-4941-47BC-8173-7A7E912E4E35}" name="26V" dataDxfId="646"/>
    <tableColumn id="36" xr3:uid="{6F6AC1FC-3FD9-425F-B4A6-EC8D9565FB21}" name="27S" dataDxfId="645"/>
    <tableColumn id="37" xr3:uid="{9DBF181F-A39C-46AD-B03B-CB2149AF06D8}" name="28D" dataDxfId="644"/>
    <tableColumn id="38" xr3:uid="{A12ECBB6-2ABE-4C41-8821-D2AF96C2B0E6}" name="29L" dataDxfId="643"/>
    <tableColumn id="39" xr3:uid="{0B3CED4D-F52D-45F9-8BEA-430C64C40937}" name="30M" dataDxfId="642"/>
    <tableColumn id="40" xr3:uid="{2C9038AC-0DF1-4600-B1CC-57C5B65980F1}" name="Columna1" dataDxfId="641"/>
    <tableColumn id="41" xr3:uid="{55EBB529-6493-4687-B67E-7DB5C3D6A25E}" name="T. DIA" dataDxfId="640">
      <calculatedColumnFormula>COUNTIF(Tabla112[[#This Row],[1L]:[Columna1]],"D12")</calculatedColumnFormula>
    </tableColumn>
    <tableColumn id="42" xr3:uid="{3F5D1B57-88D5-4E9E-8361-4F8AA632F944}" name="T. NOCHE" dataDxfId="639">
      <calculatedColumnFormula>COUNTIF(Tabla112[[#This Row],[1L]:[Columna1]],"N12")</calculatedColumnFormula>
    </tableColumn>
    <tableColumn id="43" xr3:uid="{608B7A0C-6F14-40C6-85C2-47C2FC459EA8}" name="T. DESCANSOS" dataDxfId="638">
      <calculatedColumnFormula>COUNTBLANK(Tabla112[[#This Row],[1L]:[Columna1]])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D0ED21-75E6-4ECC-B051-A0FD6A32C4CF}" name="Tabla115" displayName="Tabla115" ref="A134:AQ141" totalsRowShown="0" headerRowDxfId="637" dataDxfId="636" tableBorderDxfId="635">
  <autoFilter ref="A134:AQ141" xr:uid="{F2D0ED21-75E6-4ECC-B051-A0FD6A32C4CF}"/>
  <tableColumns count="43">
    <tableColumn id="1" xr3:uid="{505D94E2-41E3-4B18-A6EE-A6E8FB4EC440}" name="CLIENTE:"/>
    <tableColumn id="2" xr3:uid="{45156E80-F93D-4540-91F6-69F25CBAFE24}" name="COD PUESTO"/>
    <tableColumn id="3" xr3:uid="{26BF3131-0B50-4B90-8668-5CB1D6616A0D}" name="ZONA "/>
    <tableColumn id="4" xr3:uid="{CF93853D-1D29-4DF7-840A-2A24779E0DBF}" name="DIRECCION"/>
    <tableColumn id="5" xr3:uid="{F1AAC072-D57F-495A-900B-CE5BCF5C4CD4}" name="TIPO DE SERVICIO"/>
    <tableColumn id="6" xr3:uid="{FEE85331-8DE3-4289-BDF7-8498D001DEE2}" name="CEDULA " dataDxfId="634"/>
    <tableColumn id="7" xr3:uid="{4679E200-A7E8-48C0-9659-8B4D6C00FB46}" name="APELLIDOS Y NOMBRES " dataDxfId="633"/>
    <tableColumn id="8" xr3:uid="{C2E09904-ED5C-435D-A4A8-54E3E1531F33}" name="AÑO" dataDxfId="632"/>
    <tableColumn id="9" xr3:uid="{A082C0C3-BA81-4126-B067-F6F06DCE69AE}" name="MES" dataDxfId="631"/>
    <tableColumn id="10" xr3:uid="{26A176C4-F9F2-4A9E-AC77-60C0EE16D1B4}" name="1L" dataDxfId="630"/>
    <tableColumn id="11" xr3:uid="{4C18EF8E-E9D7-40BE-A5CB-24F9F6A8AEBF}" name="2M" dataDxfId="629"/>
    <tableColumn id="12" xr3:uid="{E8BC8418-BD85-465B-BBE4-38B4399780F2}" name="3W" dataDxfId="628"/>
    <tableColumn id="13" xr3:uid="{FE372194-EDB0-4250-A1A2-CB3E4ABEDCEA}" name="4J" dataDxfId="627"/>
    <tableColumn id="14" xr3:uid="{9A6B637A-5F58-477F-B2B9-01CB53F9513C}" name="5V" dataDxfId="626"/>
    <tableColumn id="15" xr3:uid="{AF79CBCA-A39F-4A75-8269-3506A0688E02}" name="6S" dataDxfId="625"/>
    <tableColumn id="16" xr3:uid="{7A5E7663-6A76-4E43-9094-64230E6A1F60}" name="7D" dataDxfId="624"/>
    <tableColumn id="17" xr3:uid="{0E716AA6-2D0E-44EF-AB7B-99D4232853C9}" name="8L" dataDxfId="623"/>
    <tableColumn id="18" xr3:uid="{BA908182-8CAD-49EC-9A60-CC94A3678C62}" name="9M" dataDxfId="622"/>
    <tableColumn id="19" xr3:uid="{77719779-F4E8-4B82-AEFE-88C256CE5789}" name="10W" dataDxfId="621"/>
    <tableColumn id="20" xr3:uid="{FD8B7E99-6D03-44A4-8CD7-111FBA0FB002}" name="11J" dataDxfId="620"/>
    <tableColumn id="21" xr3:uid="{90756E80-3FCA-47E3-9B22-022ECC0268CB}" name="12V" dataDxfId="619"/>
    <tableColumn id="22" xr3:uid="{9B01DFB4-30C3-4DB7-8539-2E87BD8EF6D2}" name="13S" dataDxfId="618"/>
    <tableColumn id="23" xr3:uid="{B170F655-CACC-4FD7-9D5D-019B041B2F7D}" name="14D" dataDxfId="617"/>
    <tableColumn id="24" xr3:uid="{88706EA3-6530-4BF3-A2DB-442DE441C70E}" name="15L" dataDxfId="616"/>
    <tableColumn id="25" xr3:uid="{44EA6151-F2A2-41A4-A80E-16AFA4A9CDBF}" name="16M" dataDxfId="615"/>
    <tableColumn id="26" xr3:uid="{34C52934-19CB-4022-ACBD-D503B6B97A42}" name="17W" dataDxfId="614"/>
    <tableColumn id="27" xr3:uid="{982B562E-82E1-4D48-963F-40FD761AC6B4}" name="18J" dataDxfId="613"/>
    <tableColumn id="28" xr3:uid="{3353AAF1-AE37-4DDB-9BD4-0EB097EBE193}" name="19V" dataDxfId="612"/>
    <tableColumn id="29" xr3:uid="{47A8B320-DF2C-485D-A950-A07971F114E5}" name="20S" dataDxfId="611"/>
    <tableColumn id="30" xr3:uid="{69B3A6FF-BE04-479D-B928-005D700540BA}" name="21D" dataDxfId="610"/>
    <tableColumn id="31" xr3:uid="{A36FBF14-391A-4F50-82E6-3F82481E9EEF}" name="22L" dataDxfId="609"/>
    <tableColumn id="32" xr3:uid="{BFC2AB85-1879-4EB6-B71C-FB84A6B819F8}" name="23M" dataDxfId="608"/>
    <tableColumn id="33" xr3:uid="{C808740D-CC9B-4355-8DC7-E893DB94981B}" name="24W" dataDxfId="607"/>
    <tableColumn id="34" xr3:uid="{B1377420-97D7-4D8F-8D38-DE1A4B643B82}" name="25J" dataDxfId="606"/>
    <tableColumn id="35" xr3:uid="{3BFFECA4-95DF-44FB-8BDD-8C3371EECEC7}" name="26V" dataDxfId="605"/>
    <tableColumn id="36" xr3:uid="{91736999-AA96-40A7-BEC7-9948AE2A077D}" name="27S" dataDxfId="604"/>
    <tableColumn id="37" xr3:uid="{DE05919E-B76C-485F-9894-557A2F700790}" name="28D" dataDxfId="603"/>
    <tableColumn id="38" xr3:uid="{F97355C3-248E-4B64-980E-B6B4B160AB9B}" name="29L" dataDxfId="602"/>
    <tableColumn id="39" xr3:uid="{D8E1E817-F50D-4FDB-9DED-3BB8D891C696}" name="30M" dataDxfId="601"/>
    <tableColumn id="40" xr3:uid="{4624358D-F120-4388-B1DE-61B5C14FD9C9}" name="Columna1" dataDxfId="600"/>
    <tableColumn id="41" xr3:uid="{26B1F8B0-BED4-426D-9FBC-2B113CC88D9C}" name="T. DIA" dataDxfId="599">
      <calculatedColumnFormula>COUNTIF(Tabla115[[#This Row],[1L]:[Columna1]],"D12")</calculatedColumnFormula>
    </tableColumn>
    <tableColumn id="42" xr3:uid="{1CC614C0-45C6-4F5F-93D4-79D997044531}" name="T. NOCHE" dataDxfId="598">
      <calculatedColumnFormula>COUNTIF(Tabla115[[#This Row],[1L]:[Columna1]],"N12")</calculatedColumnFormula>
    </tableColumn>
    <tableColumn id="43" xr3:uid="{E7EBB36B-E943-4435-86ED-4A9F6D609E55}" name="T. DESCANSOS" dataDxfId="597">
      <calculatedColumnFormula>COUNTBLANK(Tabla115[[#This Row],[1L]:[Columna1]])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841F87-8AC2-4331-9CAB-AE5F9BBA6BC4}" name="Tabla127" displayName="Tabla127" ref="A165:AQ175" totalsRowShown="0" headerRowDxfId="596" dataDxfId="595" tableBorderDxfId="594">
  <autoFilter ref="A165:AQ175" xr:uid="{72841F87-8AC2-4331-9CAB-AE5F9BBA6BC4}"/>
  <tableColumns count="43">
    <tableColumn id="1" xr3:uid="{B0784C6D-367C-4108-8AE6-FC3191160897}" name="CLIENTE:"/>
    <tableColumn id="2" xr3:uid="{9FBC2CAE-017E-41BB-8483-033695F5118F}" name="COD PUESTO"/>
    <tableColumn id="3" xr3:uid="{21034EF0-43D1-414D-9157-2091FD6EA9BA}" name="ZONA "/>
    <tableColumn id="4" xr3:uid="{4D212674-2C77-40D4-8597-9A46C3976C92}" name="DIRECCION"/>
    <tableColumn id="5" xr3:uid="{61694966-2024-409D-8507-07441F66FCAE}" name="TIPO DE SERVICIO"/>
    <tableColumn id="6" xr3:uid="{76B7336A-8667-4E95-BBF7-6ED87C54325B}" name="CEDULA " dataDxfId="593"/>
    <tableColumn id="7" xr3:uid="{2320AAF1-EF4F-4E11-B903-1C2FB31E9FB5}" name="APELLIDOS Y NOMBRES " dataDxfId="592"/>
    <tableColumn id="8" xr3:uid="{9E917AF6-FDF3-4A2E-B887-5634787CD736}" name="AÑO" dataDxfId="591"/>
    <tableColumn id="9" xr3:uid="{91C11096-4EA2-4D4D-B1C2-0164ACFFB773}" name="MES" dataDxfId="590"/>
    <tableColumn id="10" xr3:uid="{2AB2E480-F158-4B7A-9154-CE9A17A53D15}" name="1L" dataDxfId="589"/>
    <tableColumn id="11" xr3:uid="{A6E1728A-F0B4-487F-9276-E9B24739BDAA}" name="2M" dataDxfId="588"/>
    <tableColumn id="12" xr3:uid="{E5810DEC-658F-403C-BDD3-CF90E57C3000}" name="3W" dataDxfId="587"/>
    <tableColumn id="13" xr3:uid="{A92E149C-70EC-4B15-AE60-D389839EFF1A}" name="4J" dataDxfId="586"/>
    <tableColumn id="14" xr3:uid="{42930C18-B8F7-48EC-8C23-98D590C183D8}" name="5V" dataDxfId="585"/>
    <tableColumn id="15" xr3:uid="{88583A8E-6C55-4508-A559-A3E03FC3CF60}" name="6S" dataDxfId="584"/>
    <tableColumn id="16" xr3:uid="{F55DB1FD-FA06-4428-BB09-8CEBA0899F96}" name="7D" dataDxfId="583"/>
    <tableColumn id="17" xr3:uid="{4A93B768-A98D-4622-B6C8-12F9BF549D40}" name="8L" dataDxfId="582"/>
    <tableColumn id="18" xr3:uid="{B892E734-8A1F-4158-B265-3D712C9D28CB}" name="9M" dataDxfId="581"/>
    <tableColumn id="19" xr3:uid="{6E0BD1DC-2740-435F-A5AA-2590DAFCFEDA}" name="10W" dataDxfId="580"/>
    <tableColumn id="20" xr3:uid="{E51C4EF1-C60D-4DDD-91E8-BCD928F181A4}" name="11J" dataDxfId="579"/>
    <tableColumn id="21" xr3:uid="{CEB18E19-B2CF-49AC-BBCC-6B3C5BAF7E12}" name="12V" dataDxfId="578"/>
    <tableColumn id="22" xr3:uid="{37574B52-ACF6-42CA-A1EA-749EB7B04E78}" name="13S" dataDxfId="577"/>
    <tableColumn id="23" xr3:uid="{3489D357-B2FE-4464-A91D-80E32750AF38}" name="14D" dataDxfId="576"/>
    <tableColumn id="24" xr3:uid="{4724E6A9-817F-4CF8-9833-A6A0E00F65E0}" name="15L" dataDxfId="575"/>
    <tableColumn id="25" xr3:uid="{5DD87817-B4F5-4387-A372-BCEB1CBFE6FE}" name="16M" dataDxfId="574"/>
    <tableColumn id="26" xr3:uid="{B44BC154-8EA6-47B8-A0A9-05FCA3E42275}" name="17W" dataDxfId="573"/>
    <tableColumn id="27" xr3:uid="{70A25E69-1351-4DE8-8FF5-7DF90C9281EF}" name="18J" dataDxfId="572"/>
    <tableColumn id="28" xr3:uid="{94FFDE0C-0C1B-46C3-98DA-788AD3B54587}" name="19V" dataDxfId="571"/>
    <tableColumn id="29" xr3:uid="{213EA160-DC2B-4AE1-95EB-12AE1AB1CC83}" name="20S" dataDxfId="570"/>
    <tableColumn id="30" xr3:uid="{79EC3FEB-A779-423B-B7A7-8FCF014DCE4D}" name="21D" dataDxfId="569"/>
    <tableColumn id="31" xr3:uid="{91C407BC-88DC-4DF0-AB63-FE5EE0F15D0F}" name="22L" dataDxfId="568"/>
    <tableColumn id="32" xr3:uid="{CE622D93-0A80-4866-A561-C896724ACCF8}" name="23M" dataDxfId="567"/>
    <tableColumn id="33" xr3:uid="{BD40CDDE-31C8-431A-BA37-11FF5A0E69F2}" name="24W" dataDxfId="566"/>
    <tableColumn id="34" xr3:uid="{39B1BA69-CE79-4F0E-8828-F206B30D8063}" name="25J" dataDxfId="565"/>
    <tableColumn id="35" xr3:uid="{F176CCA3-3245-4600-A69D-8BC18117A0A3}" name="26V" dataDxfId="564"/>
    <tableColumn id="36" xr3:uid="{F7AF4401-898B-4C1E-B32C-3D43440387DF}" name="27S" dataDxfId="563"/>
    <tableColumn id="37" xr3:uid="{8B27B4B6-59CB-475E-9B5D-AE69FEA1478D}" name="28D" dataDxfId="562"/>
    <tableColumn id="38" xr3:uid="{97D68602-0BA1-4094-93A6-3F38C8B2D609}" name="29L" dataDxfId="561"/>
    <tableColumn id="39" xr3:uid="{B6843B00-D60C-4A16-9BD8-F1169DA1F50C}" name="30M" dataDxfId="560"/>
    <tableColumn id="40" xr3:uid="{7C5B8741-E2BD-499A-86B8-790E8A9A70BD}" name="Columna1" dataDxfId="559"/>
    <tableColumn id="41" xr3:uid="{71BBB487-F198-4CC7-955F-3DB68DB84457}" name="T. DIA" dataDxfId="558">
      <calculatedColumnFormula>COUNTIF(Tabla127[[#This Row],[1L]:[Columna1]],"D12")</calculatedColumnFormula>
    </tableColumn>
    <tableColumn id="42" xr3:uid="{A0AE2B22-9862-4FC8-B7BE-14100A32DAA2}" name="T. NOCHE" dataDxfId="557">
      <calculatedColumnFormula>COUNTIF(Tabla127[[#This Row],[1L]:[Columna1]],"N12")</calculatedColumnFormula>
    </tableColumn>
    <tableColumn id="43" xr3:uid="{A0A4BACB-594F-4CE0-A2F9-BA50B6D882D2}" name="T. DESCANSOS" dataDxfId="556">
      <calculatedColumnFormula>COUNTBLANK(Tabla127[[#This Row],[1L]:[Columna1]])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F518EA-CE11-4853-AE1A-05F389747425}" name="Tabla128" displayName="Tabla128" ref="A197:AQ210" totalsRowShown="0" headerRowDxfId="555" dataDxfId="554" tableBorderDxfId="553">
  <autoFilter ref="A197:AQ210" xr:uid="{E6F518EA-CE11-4853-AE1A-05F389747425}"/>
  <sortState xmlns:xlrd2="http://schemas.microsoft.com/office/spreadsheetml/2017/richdata2" ref="A198:AQ210">
    <sortCondition descending="1" ref="AI197:AI210"/>
  </sortState>
  <tableColumns count="43">
    <tableColumn id="1" xr3:uid="{1DFDDBF7-D00B-498E-B585-25BA9F768C90}" name="CLIENTE:"/>
    <tableColumn id="2" xr3:uid="{E224BC8D-A681-44E1-90A0-7D85D17661A5}" name="COD PUESTO"/>
    <tableColumn id="3" xr3:uid="{91A2D0DF-25B1-458D-AFCC-F787F9990E55}" name="ZONA "/>
    <tableColumn id="4" xr3:uid="{91BBCDBA-C0BB-43EE-AFA4-AA349D192DF6}" name="DIRECCION"/>
    <tableColumn id="5" xr3:uid="{C937A6BC-83BE-4856-B527-44CA942D8D35}" name="TIPO DE SERVICIO"/>
    <tableColumn id="6" xr3:uid="{A4C51E7C-126D-4926-9AD1-03AFCD36BD06}" name="CEDULA " dataDxfId="552"/>
    <tableColumn id="7" xr3:uid="{43561158-7C28-4F43-9838-93B6D058A207}" name="APELLIDOS Y NOMBRES " dataDxfId="551"/>
    <tableColumn id="8" xr3:uid="{E67F1D1E-ECBA-478D-AA81-CFAE567AEB04}" name="AÑO" dataDxfId="550"/>
    <tableColumn id="9" xr3:uid="{1B101E5A-ADC9-4A72-A089-964A3BFBA490}" name="MES" dataDxfId="549"/>
    <tableColumn id="10" xr3:uid="{B4DE8A38-3828-4ED3-80A8-8A1569F8AC4E}" name="1L" dataDxfId="548"/>
    <tableColumn id="11" xr3:uid="{BB735608-1DB9-4F06-8709-0B4FE1CF9DCE}" name="2M" dataDxfId="547"/>
    <tableColumn id="12" xr3:uid="{EDA64A81-3E7D-489F-9D19-9086D37B73CC}" name="3W" dataDxfId="546"/>
    <tableColumn id="13" xr3:uid="{F166BBE3-B6A8-4A6A-8A64-BF9033A1623E}" name="4J" dataDxfId="545"/>
    <tableColumn id="14" xr3:uid="{FCB080B3-A31D-406D-B482-FA10B1C1C4C4}" name="5V" dataDxfId="544"/>
    <tableColumn id="15" xr3:uid="{E31DD223-78AF-46DE-A6AE-9C86B503E27E}" name="6S" dataDxfId="543"/>
    <tableColumn id="16" xr3:uid="{4127858D-0257-4547-A10A-88AE2859838E}" name="7D" dataDxfId="542"/>
    <tableColumn id="17" xr3:uid="{17BF6750-6B02-45E4-A75A-80A24157169F}" name="8L" dataDxfId="541"/>
    <tableColumn id="18" xr3:uid="{61267721-D8DD-4527-BB5D-FCF810771112}" name="9M" dataDxfId="540"/>
    <tableColumn id="19" xr3:uid="{5A5084F0-24AB-4268-809C-A5E1D3655A07}" name="10W" dataDxfId="539"/>
    <tableColumn id="20" xr3:uid="{D095A068-289A-42A1-A7F6-04C1CA2BED18}" name="11J" dataDxfId="538"/>
    <tableColumn id="21" xr3:uid="{873EF06E-4F12-4690-A8FC-3F50953BA740}" name="12V" dataDxfId="537"/>
    <tableColumn id="22" xr3:uid="{CAE8E798-B71F-44D5-9235-2F295CE6F1B5}" name="13S" dataDxfId="536"/>
    <tableColumn id="23" xr3:uid="{FB009B79-CE56-43DB-AA9C-4027D7B52822}" name="14D" dataDxfId="535"/>
    <tableColumn id="24" xr3:uid="{E17AFC1D-2C47-4C71-A7D3-EA7D3D3108A5}" name="15L" dataDxfId="534"/>
    <tableColumn id="25" xr3:uid="{BFC146BB-3DDF-4E07-95EA-847A3F3CB1E2}" name="16M" dataDxfId="533"/>
    <tableColumn id="26" xr3:uid="{B5AD9544-5931-443B-8391-43E0F8ED02D8}" name="17W" dataDxfId="532"/>
    <tableColumn id="27" xr3:uid="{84D3EA5D-17FE-4ED0-82E3-29635C027776}" name="18J" dataDxfId="531"/>
    <tableColumn id="28" xr3:uid="{7D0F9ACB-FF10-48A8-AEFB-2D7766715E82}" name="19V" dataDxfId="530"/>
    <tableColumn id="29" xr3:uid="{2125E760-D50B-4AF1-96F6-A56477D8385E}" name="20S" dataDxfId="529"/>
    <tableColumn id="30" xr3:uid="{802F140C-66D2-46E5-9F6B-9E6B538C7157}" name="21D" dataDxfId="528"/>
    <tableColumn id="31" xr3:uid="{D43A1EF9-2E8E-489C-BBCF-355B18C5A0D5}" name="22L" dataDxfId="527"/>
    <tableColumn id="32" xr3:uid="{16B78470-0AF7-4B77-B665-C0F457D25487}" name="23M" dataDxfId="526"/>
    <tableColumn id="33" xr3:uid="{5616DA49-B281-4130-B6BC-897C19C1A678}" name="24W" dataDxfId="525"/>
    <tableColumn id="34" xr3:uid="{1963719E-F32B-4FA3-88A5-5FB8AFA912DB}" name="25J" dataDxfId="524"/>
    <tableColumn id="35" xr3:uid="{1DA61B34-42A5-43B0-8487-52A327F89114}" name="26V" dataDxfId="523"/>
    <tableColumn id="36" xr3:uid="{18C959B7-C82E-4F38-9DDC-33820107A0ED}" name="27S" dataDxfId="522"/>
    <tableColumn id="37" xr3:uid="{A079565E-773C-48D3-99EB-10E3563E4FA5}" name="28D" dataDxfId="521"/>
    <tableColumn id="38" xr3:uid="{7EFFBCB0-CC83-4162-BA57-65D3C3A8EA62}" name="29L" dataDxfId="520"/>
    <tableColumn id="39" xr3:uid="{BD11E64D-AE8E-46C2-B221-0CD7082566DB}" name="30M" dataDxfId="519"/>
    <tableColumn id="40" xr3:uid="{42143B32-CE54-4AC9-882A-FD28F466AFB7}" name="Columna1" dataDxfId="518"/>
    <tableColumn id="41" xr3:uid="{42BB1E47-0152-4064-946A-2DA9E5BC1CCA}" name="T. DIA" dataDxfId="517">
      <calculatedColumnFormula>COUNTIF(Tabla128[[#This Row],[1L]:[Columna1]],"D12")</calculatedColumnFormula>
    </tableColumn>
    <tableColumn id="42" xr3:uid="{43BDDD88-3B04-4E9A-9D3D-7AAA8D8C9795}" name="T. NOCHE" dataDxfId="516">
      <calculatedColumnFormula>COUNTIF(Tabla128[[#This Row],[1L]:[Columna1]],"N12")</calculatedColumnFormula>
    </tableColumn>
    <tableColumn id="43" xr3:uid="{C317C43F-0053-40CC-A6D0-4578E589CAA5}" name="T. DESCANSOS" dataDxfId="515">
      <calculatedColumnFormula>COUNTBLANK(Tabla128[[#This Row],[1L]:[Columna1]])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B73D78-6326-472C-A739-36692D5A64F4}" name="Tabla130" displayName="Tabla130" ref="A231:AQ240" totalsRowShown="0" headerRowDxfId="514" dataDxfId="513" tableBorderDxfId="512">
  <autoFilter ref="A231:AQ240" xr:uid="{FCB73D78-6326-472C-A739-36692D5A64F4}"/>
  <tableColumns count="43">
    <tableColumn id="1" xr3:uid="{0E2AC235-E3CA-4326-9AE5-B27FA911EE98}" name="CLIENTE:"/>
    <tableColumn id="2" xr3:uid="{5B77CFF3-3814-4F0B-9B68-C26C6796FC96}" name="COD PUESTO"/>
    <tableColumn id="3" xr3:uid="{D7AAB56B-A15B-4957-8445-F0B28704C772}" name="ZONA "/>
    <tableColumn id="4" xr3:uid="{AB3CC21D-1C8F-4AA1-ACF6-61FF0D63A85F}" name="DIRECCION"/>
    <tableColumn id="5" xr3:uid="{B627D73F-90AC-4FE5-BFF5-0D064D721594}" name="TIPO DE SERVICIO"/>
    <tableColumn id="6" xr3:uid="{CD55BD27-B80B-49B6-AFD4-E01FCACAF22D}" name="CEDULA " dataDxfId="511"/>
    <tableColumn id="7" xr3:uid="{2BD55E96-344D-4E89-A285-68BB7BD5CAB9}" name="APELLIDOS Y NOMBRES " dataDxfId="510"/>
    <tableColumn id="8" xr3:uid="{4FC5A645-6EA7-4DA3-860B-9879FC1E6174}" name="AÑO" dataDxfId="509"/>
    <tableColumn id="9" xr3:uid="{CEB24AE2-064E-4A72-9185-0C0F8D5F506A}" name="MES" dataDxfId="508"/>
    <tableColumn id="10" xr3:uid="{7C10ADA2-910E-41C4-90F3-299E26190D2F}" name="1L" dataDxfId="507"/>
    <tableColumn id="11" xr3:uid="{E9B3CDA1-A9CF-4829-8C6C-76E988338F99}" name="2M" dataDxfId="506"/>
    <tableColumn id="12" xr3:uid="{82211312-CE0F-4201-AEA9-DB84AE967913}" name="3W" dataDxfId="505"/>
    <tableColumn id="13" xr3:uid="{C61D66A0-4DAE-46BD-89C1-D3A2AA866585}" name="4J" dataDxfId="504"/>
    <tableColumn id="14" xr3:uid="{E1338CAF-3BCF-4D7C-8F8A-D1742549FB56}" name="5V" dataDxfId="503"/>
    <tableColumn id="15" xr3:uid="{537FD91E-5622-4E91-A2CE-EB988FF0640A}" name="6S" dataDxfId="502"/>
    <tableColumn id="16" xr3:uid="{F035E326-BD0F-483B-A4DD-602C05C402A2}" name="7D" dataDxfId="501"/>
    <tableColumn id="17" xr3:uid="{3CF60784-2A84-4528-919C-A5BB9362E321}" name="8L" dataDxfId="500"/>
    <tableColumn id="18" xr3:uid="{AEC070F4-4446-4A09-86FB-90880F23F783}" name="9M" dataDxfId="499"/>
    <tableColumn id="19" xr3:uid="{B7A9FF68-F4FC-45F6-8E79-E7FD104B2A59}" name="10W" dataDxfId="498"/>
    <tableColumn id="20" xr3:uid="{B9704BBF-8F25-46D8-AE20-C8BB3695551F}" name="11J" dataDxfId="497"/>
    <tableColumn id="21" xr3:uid="{5CD3EE34-03AD-4D6D-B39E-AF0C72EEE121}" name="12V" dataDxfId="496"/>
    <tableColumn id="22" xr3:uid="{74E4A781-2D25-4BBD-9949-FCD63817DD03}" name="13S" dataDxfId="495"/>
    <tableColumn id="23" xr3:uid="{9C44E5F3-0D94-4D44-A5AC-B4228643C3DB}" name="14D" dataDxfId="494"/>
    <tableColumn id="24" xr3:uid="{EA44FF15-8BDC-4049-8132-F1183E958687}" name="15L" dataDxfId="493"/>
    <tableColumn id="25" xr3:uid="{B33B3465-218A-40FF-907F-0376ED82AD2F}" name="16M" dataDxfId="492"/>
    <tableColumn id="26" xr3:uid="{ABCF908A-6A7B-46E1-B71B-0C7A8F32EE36}" name="17W" dataDxfId="491"/>
    <tableColumn id="27" xr3:uid="{970127E3-1C7A-481C-876C-B65601C6436B}" name="18J" dataDxfId="490"/>
    <tableColumn id="28" xr3:uid="{030089A0-AAF4-4F1B-A2AA-F54DFDDD8FA7}" name="19V" dataDxfId="489"/>
    <tableColumn id="29" xr3:uid="{6562F021-C92E-445E-A067-169B38B107B2}" name="20S" dataDxfId="488"/>
    <tableColumn id="30" xr3:uid="{370BA14D-AF2D-42F4-8074-765D9CDB2B36}" name="21D" dataDxfId="487"/>
    <tableColumn id="31" xr3:uid="{902E20E3-7704-495F-A925-7829BB5E5033}" name="22L" dataDxfId="486"/>
    <tableColumn id="32" xr3:uid="{DF11E096-BD18-4287-9150-6E79C14D1F2E}" name="23M" dataDxfId="485"/>
    <tableColumn id="33" xr3:uid="{E427161A-4981-4B65-B8D1-4BDD4020DCA4}" name="24W" dataDxfId="484"/>
    <tableColumn id="34" xr3:uid="{10185DAC-EB9F-46A1-81D9-989BDAB7132A}" name="25J" dataDxfId="483"/>
    <tableColumn id="35" xr3:uid="{D2D5D3B7-550E-49C5-AACE-443D89074663}" name="26V" dataDxfId="482"/>
    <tableColumn id="36" xr3:uid="{7F2CAACC-4F8D-40E1-9948-CDD412A1C278}" name="27S" dataDxfId="481"/>
    <tableColumn id="37" xr3:uid="{75C8AA75-EA69-476E-9F33-54FD5241E009}" name="28D" dataDxfId="480"/>
    <tableColumn id="38" xr3:uid="{A71B8F25-5EA1-463F-8142-759DEAD08A4C}" name="29L" dataDxfId="479"/>
    <tableColumn id="39" xr3:uid="{63059D33-3A10-4F7A-A2BD-3E7D194BA877}" name="30M" dataDxfId="478"/>
    <tableColumn id="40" xr3:uid="{BD7F7CF7-E823-40F6-BBF8-6EB0CB52AB2F}" name="Columna1" dataDxfId="477"/>
    <tableColumn id="41" xr3:uid="{33587063-53E1-449D-88E9-3395F09E6420}" name="T. DIA" dataDxfId="476">
      <calculatedColumnFormula>COUNTIF(Tabla130[[#This Row],[1L]:[Columna1]],"D12")</calculatedColumnFormula>
    </tableColumn>
    <tableColumn id="42" xr3:uid="{EBAA2C52-DD6C-4A31-9D25-A1EBA7984FDA}" name="T. NOCHE" dataDxfId="475">
      <calculatedColumnFormula>COUNTIF(Tabla130[[#This Row],[1L]:[Columna1]],"N12")</calculatedColumnFormula>
    </tableColumn>
    <tableColumn id="43" xr3:uid="{918C141E-D33A-45CA-958C-19B797B98220}" name="T. DESCANSOS" dataDxfId="474">
      <calculatedColumnFormula>COUNTBLANK(Tabla130[[#This Row],[1L]:[Columna1]])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F289531-5BCB-4E80-BFDC-799C06860749}" name="Tabla1327" displayName="Tabla1327" ref="A261:AQ273" totalsRowShown="0" headerRowDxfId="473" dataDxfId="472" tableBorderDxfId="471">
  <autoFilter ref="A261:AQ273" xr:uid="{2F289531-5BCB-4E80-BFDC-799C06860749}"/>
  <tableColumns count="43">
    <tableColumn id="1" xr3:uid="{EB83790B-588C-4168-8B0A-64117359DFE1}" name="CLIENTE:"/>
    <tableColumn id="2" xr3:uid="{25B8E54C-E027-4862-871B-B6A638EA87DA}" name="COD PUESTO"/>
    <tableColumn id="3" xr3:uid="{FC43FD9B-6535-4F79-9B09-686E5CE89A43}" name="ZONA "/>
    <tableColumn id="4" xr3:uid="{356D78D3-74E7-40FB-AA41-FE862D715028}" name="DIRECCION"/>
    <tableColumn id="5" xr3:uid="{E1FAE1F2-EA3C-41E5-BEFE-145A7CD27670}" name="TIPO DE SERVICIO"/>
    <tableColumn id="6" xr3:uid="{6AADE352-8128-408D-B5AD-A629A641B51F}" name="CEDULA " dataDxfId="470"/>
    <tableColumn id="7" xr3:uid="{5654F3D9-6C3C-4214-BB6B-70815DF72DE5}" name="APELLIDOS Y NOMBRES " dataDxfId="469"/>
    <tableColumn id="8" xr3:uid="{60D3D63C-560A-4FEA-83C9-9AC2103D4834}" name="AÑO" dataDxfId="468"/>
    <tableColumn id="9" xr3:uid="{9FF3B8F5-7CB1-441B-A035-E29E2C2528C1}" name="MES" dataDxfId="467"/>
    <tableColumn id="10" xr3:uid="{169F8200-2B71-429B-9574-9B95AAA34CB9}" name="1L" dataDxfId="466"/>
    <tableColumn id="11" xr3:uid="{7704F3D1-BAB6-4047-BFE9-A8B543C45578}" name="2M" dataDxfId="465"/>
    <tableColumn id="12" xr3:uid="{C8CB146D-B4C8-4982-B4C6-7CC7402055A4}" name="3W" dataDxfId="464"/>
    <tableColumn id="13" xr3:uid="{6FC8D39B-FDD9-4193-960A-809C76F9FED0}" name="4J" dataDxfId="463"/>
    <tableColumn id="14" xr3:uid="{EC9DE699-9333-411C-8283-077BD5B2656F}" name="5V" dataDxfId="462"/>
    <tableColumn id="15" xr3:uid="{1930D1D3-3575-4096-BDA0-4AE7E1706638}" name="6S" dataDxfId="461"/>
    <tableColumn id="16" xr3:uid="{42FBAC7A-3481-49AD-98C3-8259AE920A90}" name="7D" dataDxfId="460"/>
    <tableColumn id="17" xr3:uid="{6D500389-CF2D-42DF-8F64-D793DC5B3A2E}" name="8L" dataDxfId="459"/>
    <tableColumn id="18" xr3:uid="{EE3B93B5-515A-440B-BAD3-0DE67D86119B}" name="9M" dataDxfId="458"/>
    <tableColumn id="19" xr3:uid="{A5BE94A3-C440-44CB-A79E-C72ED7101B18}" name="10W" dataDxfId="457"/>
    <tableColumn id="20" xr3:uid="{555C7FA8-91EF-4F4D-8908-65FDA49CC7CB}" name="11J" dataDxfId="456"/>
    <tableColumn id="21" xr3:uid="{D81C8F60-2711-4C7A-A1C6-13CC987BAEDB}" name="12V" dataDxfId="455"/>
    <tableColumn id="22" xr3:uid="{498F08E5-50E4-4516-9A6F-0D357DE0E793}" name="13S" dataDxfId="454"/>
    <tableColumn id="23" xr3:uid="{C77A5E2A-9507-448A-AE18-FAEB97278E46}" name="14D" dataDxfId="453"/>
    <tableColumn id="24" xr3:uid="{15A30D93-3C21-43E9-981C-3D34CFAA5561}" name="15L" dataDxfId="452"/>
    <tableColumn id="25" xr3:uid="{0557DBCD-FEBE-482B-A637-DE725A355A69}" name="16M" dataDxfId="451"/>
    <tableColumn id="26" xr3:uid="{63B77849-3F17-4FD4-80E2-369B9718C99B}" name="17W" dataDxfId="450"/>
    <tableColumn id="27" xr3:uid="{BACD25E2-A665-4CE8-AD3B-225FEBDE0A1B}" name="18J" dataDxfId="449"/>
    <tableColumn id="28" xr3:uid="{338B90AF-B4B6-4BB9-8F41-4D6227D9893A}" name="19V" dataDxfId="448"/>
    <tableColumn id="29" xr3:uid="{C0E071DA-5456-4CB6-B2F5-207FFB0E5D27}" name="20S" dataDxfId="447"/>
    <tableColumn id="30" xr3:uid="{B4C93ACD-DBE7-4718-AAA3-CB78485B5D39}" name="21D" dataDxfId="446"/>
    <tableColumn id="31" xr3:uid="{FACD4E7A-7319-4DAB-B9CF-41FB08062DFB}" name="22L" dataDxfId="445"/>
    <tableColumn id="32" xr3:uid="{9C384296-9E4C-446E-B0DC-2B0860E15CEF}" name="23M" dataDxfId="444"/>
    <tableColumn id="33" xr3:uid="{4F4AE791-2A15-4935-9AF3-C08A14DB7488}" name="24W" dataDxfId="443"/>
    <tableColumn id="34" xr3:uid="{D43C94E7-065F-41F1-BB2F-DFA318D26B1A}" name="25J" dataDxfId="442"/>
    <tableColumn id="35" xr3:uid="{BF692693-DA91-4541-B522-75B28DCBCF68}" name="26V" dataDxfId="441"/>
    <tableColumn id="36" xr3:uid="{C71D5A2A-DE85-4257-AFA3-80DD3004E42C}" name="27S" dataDxfId="440"/>
    <tableColumn id="37" xr3:uid="{7BB20FCD-7B31-4960-8940-2B8F428EDD74}" name="28D" dataDxfId="439"/>
    <tableColumn id="38" xr3:uid="{C3063ED6-9188-419C-99F9-23FD388DAF80}" name="29L" dataDxfId="438"/>
    <tableColumn id="39" xr3:uid="{5F5DB6FE-0482-4612-8C85-26F79C65965F}" name="30M" dataDxfId="437"/>
    <tableColumn id="40" xr3:uid="{BEA96766-4CB7-40CE-831C-00BD4DC2E224}" name="Columna1" dataDxfId="436"/>
    <tableColumn id="41" xr3:uid="{5CB02AF6-2DD8-49E6-89DE-C274DD34D77C}" name="T. DIA" dataDxfId="435">
      <calculatedColumnFormula>COUNTIF(Tabla1327[[#This Row],[1L]:[Columna1]],"D12")</calculatedColumnFormula>
    </tableColumn>
    <tableColumn id="42" xr3:uid="{39B3663B-7568-4060-BCAE-4048647E738E}" name="T. NOCHE" dataDxfId="434">
      <calculatedColumnFormula>COUNTIF(Tabla1327[[#This Row],[1L]:[Columna1]],"N12")</calculatedColumnFormula>
    </tableColumn>
    <tableColumn id="43" xr3:uid="{422D537B-073D-49BC-BB80-9931712670F8}" name="T. DESCANSOS" dataDxfId="433">
      <calculatedColumnFormula>COUNTBLANK(Tabla1327[[#This Row],[1L]:[Columna1]])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4FADDE6-18DA-4ECA-A2E3-8BF12132A3D6}" name="Tabla13234443" displayName="Tabla13234443" ref="A306:AQ313" totalsRowShown="0" headerRowDxfId="432" dataDxfId="431" tableBorderDxfId="430">
  <autoFilter ref="A306:AQ313" xr:uid="{74FADDE6-18DA-4ECA-A2E3-8BF12132A3D6}"/>
  <tableColumns count="43">
    <tableColumn id="1" xr3:uid="{53F42245-D873-4D8D-BCC0-6D78C3A14BDE}" name="CLIENTE:"/>
    <tableColumn id="2" xr3:uid="{C5F47E4D-9BA8-4806-9041-86E15AD764B7}" name="COD PUESTO"/>
    <tableColumn id="3" xr3:uid="{65D59A8D-6F5A-4D97-BD2A-9AD346A17288}" name="ZONA "/>
    <tableColumn id="4" xr3:uid="{E9A1BBBA-1919-43B5-BBAB-2B9B81B08E0E}" name="DIRECCION"/>
    <tableColumn id="5" xr3:uid="{4752EC16-1CB7-4A7B-8F4E-A28E812D2CA2}" name="TIPO DE SERVICIO"/>
    <tableColumn id="6" xr3:uid="{B6E4C0C9-FD6D-4EBE-96B1-D800D18F73CD}" name="CEDULA " dataDxfId="429"/>
    <tableColumn id="7" xr3:uid="{82344993-2EFD-4BC6-874F-85310DC825B6}" name="APELLIDOS Y NOMBRES " dataDxfId="428"/>
    <tableColumn id="8" xr3:uid="{2E656493-C346-420D-A192-1B467CAFB0B0}" name="AÑO" dataDxfId="427"/>
    <tableColumn id="9" xr3:uid="{14319BED-06D9-4082-BCDF-25FFDA5B571F}" name="MES" dataDxfId="426"/>
    <tableColumn id="10" xr3:uid="{6068F9D8-849A-4404-9C5D-88F01FD515BD}" name="1L" dataDxfId="425"/>
    <tableColumn id="11" xr3:uid="{ECBD4BBF-EAE3-4D90-A83E-2D316EDED1DE}" name="2M" dataDxfId="424"/>
    <tableColumn id="12" xr3:uid="{4B4D8196-D687-48C1-974F-EC42DFE81A3F}" name="3W" dataDxfId="423"/>
    <tableColumn id="13" xr3:uid="{3E007F9A-C4F0-4B94-AB1F-B3F9E820DBCD}" name="4J" dataDxfId="422"/>
    <tableColumn id="14" xr3:uid="{A6A8F0C0-7FC7-40E6-8EAE-B3FEB2C79161}" name="5V" dataDxfId="421"/>
    <tableColumn id="15" xr3:uid="{DC82D10C-7227-451B-8D5A-94DBA8D3E6A7}" name="6S" dataDxfId="420"/>
    <tableColumn id="16" xr3:uid="{CDF5AC8E-3966-4E61-A514-667861C0C0D3}" name="7D" dataDxfId="419"/>
    <tableColumn id="17" xr3:uid="{6DA2D1D1-1E1A-422F-B46A-09ED654DF4F8}" name="8L" dataDxfId="418"/>
    <tableColumn id="18" xr3:uid="{5C465BAB-1766-4B0D-81D7-4E855B47A0E5}" name="9M" dataDxfId="417"/>
    <tableColumn id="19" xr3:uid="{ADA1F330-4DAE-4830-9722-C7F5272983FF}" name="10W" dataDxfId="416"/>
    <tableColumn id="20" xr3:uid="{0281D185-DDDE-48D1-9AE9-1DC924057C01}" name="11J" dataDxfId="415"/>
    <tableColumn id="21" xr3:uid="{AE98524C-01E8-4575-8641-DD83CB6BEFA9}" name="12V" dataDxfId="414"/>
    <tableColumn id="22" xr3:uid="{104551CE-D161-4155-84D3-F8B6E5E21370}" name="13S" dataDxfId="413"/>
    <tableColumn id="23" xr3:uid="{8CE82F15-BB59-4CF1-8D47-64E9E1C5C628}" name="14D" dataDxfId="412"/>
    <tableColumn id="24" xr3:uid="{CE81325F-4920-4EFC-B77C-1FD1D139F68E}" name="15L" dataDxfId="411"/>
    <tableColumn id="25" xr3:uid="{2CAE35C7-8192-4ACB-916F-3B4FA7A75FDF}" name="16M" dataDxfId="410"/>
    <tableColumn id="26" xr3:uid="{0A3C1847-C006-4368-BD76-AD6C35897272}" name="17W" dataDxfId="409"/>
    <tableColumn id="27" xr3:uid="{153F7D7A-F91A-48DE-BDD5-5D51A6A56900}" name="18J" dataDxfId="408"/>
    <tableColumn id="28" xr3:uid="{2DF021FC-C276-4A19-B878-FCDB19AC1462}" name="19V" dataDxfId="407"/>
    <tableColumn id="29" xr3:uid="{CD25C3B1-CC8B-4EC2-8768-0BB93E9A3C2D}" name="20S" dataDxfId="406"/>
    <tableColumn id="30" xr3:uid="{0AD2B6F9-0ABF-4E11-9913-D4DB8F5C6214}" name="21D" dataDxfId="405"/>
    <tableColumn id="31" xr3:uid="{F772B6D0-53E5-4F69-A975-8E63A5DC63FD}" name="22L" dataDxfId="404"/>
    <tableColumn id="32" xr3:uid="{F919E8AC-B4C5-4FB3-88AA-0E35BE76FF44}" name="23M" dataDxfId="403"/>
    <tableColumn id="33" xr3:uid="{627A1DC3-3ECA-4D14-92D0-0A55242C90C6}" name="24W" dataDxfId="402"/>
    <tableColumn id="34" xr3:uid="{ED371923-574F-4C68-B7DA-B4FEB2D0C87B}" name="25J" dataDxfId="401"/>
    <tableColumn id="35" xr3:uid="{183D37C2-7381-41C4-8E1B-8316DB14DA38}" name="26V" dataDxfId="400"/>
    <tableColumn id="36" xr3:uid="{6903F36D-E3CA-47D8-9006-59567D5F9DA1}" name="27S" dataDxfId="399"/>
    <tableColumn id="37" xr3:uid="{017A4EE8-7686-4D08-ADC8-21C58F7218AF}" name="28D" dataDxfId="398"/>
    <tableColumn id="38" xr3:uid="{30784361-33A7-4E37-9BB2-05ACDA8AE026}" name="29L" dataDxfId="397"/>
    <tableColumn id="39" xr3:uid="{C721ACC2-02B1-4FEC-98A6-05A901B24723}" name="30M" dataDxfId="396"/>
    <tableColumn id="40" xr3:uid="{64A52151-58CA-42EE-A80F-824242419151}" name="Columna1" dataDxfId="395">
      <calculatedColumnFormula>COUNTIF(AN296:AN306,"D12")</calculatedColumnFormula>
    </tableColumn>
    <tableColumn id="41" xr3:uid="{7CF70B3C-90D5-4311-8CD2-4DA8562A6426}" name="T. DIA" dataDxfId="394">
      <calculatedColumnFormula>COUNTIF(Tabla13234443[[#This Row],[1L]:[Columna1]],"D12")</calculatedColumnFormula>
    </tableColumn>
    <tableColumn id="42" xr3:uid="{E6538215-7D3E-483C-A653-CDA7F03C2211}" name="T. NOCHE" dataDxfId="393">
      <calculatedColumnFormula>COUNTIF(Tabla13234443[[#This Row],[1L]:[Columna1]],"N12")</calculatedColumnFormula>
    </tableColumn>
    <tableColumn id="43" xr3:uid="{2E56D5C7-6870-4E82-BEF7-9E3913EFD69E}" name="T. DESCANSOS" dataDxfId="392">
      <calculatedColumnFormula>COUNTBLANK(Tabla13234443[[#This Row],[1L]:[Columna1]])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7C60E65-911D-4994-AF45-94F7DAF148FF}" name="Tabla13234445" displayName="Tabla13234445" ref="A381:AQ391" totalsRowShown="0" headerRowDxfId="391" dataDxfId="390" tableBorderDxfId="389">
  <autoFilter ref="A381:AQ391" xr:uid="{17C60E65-911D-4994-AF45-94F7DAF148FF}"/>
  <tableColumns count="43">
    <tableColumn id="1" xr3:uid="{4E5C969B-1FC6-4C93-9EE4-438104BA621C}" name="CLIENTE:"/>
    <tableColumn id="2" xr3:uid="{0FAD95E0-F21C-400E-9C6B-413AA2709C24}" name="COD PUESTO"/>
    <tableColumn id="3" xr3:uid="{B9602A2C-83D0-4326-ABFA-AC84753C4F8A}" name="ZONA "/>
    <tableColumn id="4" xr3:uid="{7764050B-065B-4EE2-955C-66EF2FE300BD}" name="DIRECCION"/>
    <tableColumn id="5" xr3:uid="{38B7C90D-9A91-4326-A64D-8525466AA190}" name="TIPO DE SERVICIO"/>
    <tableColumn id="6" xr3:uid="{05300FA5-EDC9-4329-A2DD-B0B3652D6ACF}" name="CEDULA " dataDxfId="388"/>
    <tableColumn id="7" xr3:uid="{CCD2F9DB-3326-4C30-A97B-C056D1D660E0}" name="APELLIDOS Y NOMBRES " dataDxfId="387"/>
    <tableColumn id="8" xr3:uid="{7D8D86B9-C439-4BDD-8AD5-5D656FA6A04B}" name="AÑO" dataDxfId="386"/>
    <tableColumn id="9" xr3:uid="{E176E16C-3EB2-4891-BA70-93A8ABEC2A60}" name="MES" dataDxfId="385"/>
    <tableColumn id="10" xr3:uid="{9A4F02F3-D9BF-41E7-ACF6-4F23FEF89BAE}" name="1L" dataDxfId="384"/>
    <tableColumn id="11" xr3:uid="{2B79C551-A854-45B3-8157-C31C7B8D7E73}" name="2M" dataDxfId="383"/>
    <tableColumn id="12" xr3:uid="{64B8DBA9-3C8D-4463-A01C-1C1FBCCD838E}" name="3W" dataDxfId="382"/>
    <tableColumn id="13" xr3:uid="{0092BD93-CB51-461E-95E6-3195144A924B}" name="4J" dataDxfId="381"/>
    <tableColumn id="14" xr3:uid="{55E19C0D-4B77-4CA2-839D-F602B340AB3E}" name="5V" dataDxfId="380"/>
    <tableColumn id="15" xr3:uid="{CF22001B-11CD-4630-94C0-271040F568F5}" name="6S" dataDxfId="379"/>
    <tableColumn id="16" xr3:uid="{F6CB6EB5-A5FE-467D-A52F-6D21B236803A}" name="7D" dataDxfId="378"/>
    <tableColumn id="17" xr3:uid="{7C3A482B-2328-4200-8246-2D5CE9D64D05}" name="8L" dataDxfId="377"/>
    <tableColumn id="18" xr3:uid="{E55FC173-35C1-4577-B948-95971E523E86}" name="9M" dataDxfId="376"/>
    <tableColumn id="19" xr3:uid="{DEB8329C-8268-4044-AC92-0D53D2C9A29D}" name="10W" dataDxfId="375"/>
    <tableColumn id="20" xr3:uid="{3EB05A4A-3550-4C25-9E0A-FB0D28C3C5F2}" name="11J" dataDxfId="374"/>
    <tableColumn id="21" xr3:uid="{DBA98516-10CA-4D37-A1BC-C7B993A027BD}" name="12V" dataDxfId="373"/>
    <tableColumn id="22" xr3:uid="{8DB5C6CB-F420-4855-9A7F-B507A0C606DF}" name="13S" dataDxfId="372"/>
    <tableColumn id="23" xr3:uid="{CEE083C5-F795-4A97-AC17-4C2EA26CCA1B}" name="14D" dataDxfId="371"/>
    <tableColumn id="24" xr3:uid="{C5CF967E-ED85-4314-A98D-9D14ABEC316E}" name="15L" dataDxfId="370"/>
    <tableColumn id="25" xr3:uid="{D4051667-05ED-428E-89DA-0DB68867798E}" name="16M" dataDxfId="369"/>
    <tableColumn id="26" xr3:uid="{4C801886-4170-4C5B-B911-5E1CD7A350AB}" name="17W" dataDxfId="368"/>
    <tableColumn id="27" xr3:uid="{EE84510C-DDC3-48C3-B063-69E80E225D5A}" name="18J" dataDxfId="367"/>
    <tableColumn id="28" xr3:uid="{DE1F3DB5-9353-484B-A6E2-6F0146A1031C}" name="19V" dataDxfId="366"/>
    <tableColumn id="29" xr3:uid="{88A1402A-74F9-43F0-BA7F-467490D70348}" name="20S" dataDxfId="365"/>
    <tableColumn id="30" xr3:uid="{9F3F77AC-C515-4371-AF58-7E681A6DF686}" name="21D" dataDxfId="364"/>
    <tableColumn id="31" xr3:uid="{67B8EFE7-8E0C-4FDF-9EBD-AC7287027712}" name="22L" dataDxfId="363"/>
    <tableColumn id="32" xr3:uid="{CF4EF711-DCAC-48B1-9948-692964B14AA6}" name="23M" dataDxfId="362"/>
    <tableColumn id="33" xr3:uid="{DBFFA5A6-5E49-418C-815A-E98CAE6C8874}" name="24W" dataDxfId="361"/>
    <tableColumn id="34" xr3:uid="{255A45D7-0A7C-42F1-A7A4-F8787E161658}" name="25J" dataDxfId="360"/>
    <tableColumn id="35" xr3:uid="{52DDCB78-523A-4970-80A0-AC0F792E11F3}" name="26V" dataDxfId="359"/>
    <tableColumn id="36" xr3:uid="{594E8295-8BCA-4E55-80D9-5E539DFB9346}" name="27S" dataDxfId="358"/>
    <tableColumn id="37" xr3:uid="{CBFB3740-D122-4940-BB59-55046A4934F0}" name="28D" dataDxfId="357"/>
    <tableColumn id="38" xr3:uid="{85EBCE22-ECD6-4167-8353-605F43D53170}" name="29L" dataDxfId="356"/>
    <tableColumn id="39" xr3:uid="{7AECC110-21E9-4C88-ABE0-9A00EAC65304}" name="30M" dataDxfId="355"/>
    <tableColumn id="40" xr3:uid="{0E1E4560-4F6A-40FD-8BC6-488121B4EAE2}" name="Columna1" dataDxfId="354"/>
    <tableColumn id="41" xr3:uid="{10F4051A-5726-4BDD-AB22-A9971B88CEBD}" name="T. DIA" dataDxfId="353">
      <calculatedColumnFormula>COUNTIF(Tabla13234445[[#This Row],[1L]:[Columna1]],"D12")</calculatedColumnFormula>
    </tableColumn>
    <tableColumn id="42" xr3:uid="{CA2F653D-E51A-4294-A423-61AB4DF77114}" name="T. NOCHE" dataDxfId="352">
      <calculatedColumnFormula>COUNTIF(Tabla13234445[[#This Row],[1L]:[Columna1]],"N12")</calculatedColumnFormula>
    </tableColumn>
    <tableColumn id="43" xr3:uid="{CF30CDB4-8FAA-4A40-8CAA-76B4AAD6E06E}" name="T. DESCANSOS" dataDxfId="351">
      <calculatedColumnFormula>COUNTBLANK(Tabla13234445[[#This Row],[1L]:[Columna1]])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C848262-D848-4FB8-ACEF-9DEA7ED89CF5}" name="Tabla13234446" displayName="Tabla13234446" ref="A420:AQ425" totalsRowShown="0" headerRowDxfId="350" dataDxfId="349" tableBorderDxfId="348">
  <autoFilter ref="A420:AQ425" xr:uid="{2C848262-D848-4FB8-ACEF-9DEA7ED89CF5}"/>
  <tableColumns count="43">
    <tableColumn id="1" xr3:uid="{DCD7D83B-CF21-4279-A13D-F7F4B991B185}" name="CLIENTE:"/>
    <tableColumn id="2" xr3:uid="{9C019FFE-094E-4439-AF3A-C737ECF49122}" name="COD PUESTO"/>
    <tableColumn id="3" xr3:uid="{D78FB7D9-4C0B-4758-B65A-484357D9A0A3}" name="ZONA "/>
    <tableColumn id="4" xr3:uid="{3F59C0B0-F4FF-4061-9D54-875E51546F25}" name="DIRECCION"/>
    <tableColumn id="5" xr3:uid="{E8FEF3E9-6DB4-4A7E-B6A7-0A534B3F0587}" name="TIPO DE SERVICIO"/>
    <tableColumn id="6" xr3:uid="{64109F30-51D6-41BA-9245-03B8F5D81D57}" name="CEDULA " dataDxfId="347"/>
    <tableColumn id="7" xr3:uid="{083C58BF-EC2E-4129-933D-EA06E9066FF0}" name="APELLIDOS Y NOMBRES " dataDxfId="346"/>
    <tableColumn id="8" xr3:uid="{3A7BF07F-C00E-46BB-8A71-963DD49FB7C3}" name="AÑO" dataDxfId="345"/>
    <tableColumn id="9" xr3:uid="{146C6888-D208-48FA-A2FB-DE5CA991A99A}" name="MES" dataDxfId="344"/>
    <tableColumn id="10" xr3:uid="{8E8B4830-0982-4D3D-8A18-68F6380E51F6}" name="1L" dataDxfId="343"/>
    <tableColumn id="11" xr3:uid="{02115F1C-2FE3-4233-81CD-70F3E13C0237}" name="2M" dataDxfId="342"/>
    <tableColumn id="12" xr3:uid="{331125E6-E0A0-41FD-9C2B-9F56FEC26490}" name="3W" dataDxfId="341"/>
    <tableColumn id="13" xr3:uid="{25044A51-A4A0-4B65-BD4F-87650246C1AD}" name="4J" dataDxfId="340"/>
    <tableColumn id="14" xr3:uid="{35B65754-EF8C-4E61-B04C-29033ECCED10}" name="5V" dataDxfId="339"/>
    <tableColumn id="15" xr3:uid="{49E16C81-605E-4E51-90D9-CEF1BC7598DD}" name="6S" dataDxfId="338"/>
    <tableColumn id="16" xr3:uid="{2DE5FF96-57B2-4586-B3A6-A955BF08CE17}" name="7D" dataDxfId="337"/>
    <tableColumn id="17" xr3:uid="{8FDEE92A-5CF5-45CD-884C-423A9ED415E9}" name="8L" dataDxfId="336"/>
    <tableColumn id="18" xr3:uid="{F1CF5EDA-6D3C-4F94-80AC-4337D7B9F430}" name="9M" dataDxfId="335"/>
    <tableColumn id="19" xr3:uid="{8F777110-395C-41C4-96F6-64E57C413D27}" name="10W" dataDxfId="334"/>
    <tableColumn id="20" xr3:uid="{B9E8F55E-D763-43D1-A129-DFF2382038D2}" name="11J" dataDxfId="333"/>
    <tableColumn id="21" xr3:uid="{386961C5-6D05-4833-AD6A-B598AF9323BC}" name="12V" dataDxfId="332"/>
    <tableColumn id="22" xr3:uid="{E6800823-EC7A-41DB-A52B-B72123857CED}" name="13S" dataDxfId="331"/>
    <tableColumn id="23" xr3:uid="{B0F877FD-C9B9-4A7E-A71C-0E5CB50BA575}" name="14D" dataDxfId="330"/>
    <tableColumn id="24" xr3:uid="{AD5BF321-F236-41F9-91A5-24A029E84F8D}" name="15L" dataDxfId="329"/>
    <tableColumn id="25" xr3:uid="{A149078F-E7B8-4768-9CED-EE6F8153F69D}" name="16M" dataDxfId="328"/>
    <tableColumn id="26" xr3:uid="{AE9FEB55-3506-48B8-B461-3DBCB269DDA6}" name="17W" dataDxfId="327"/>
    <tableColumn id="27" xr3:uid="{E1D4FCAF-DE31-412F-8D75-2AD66B80D664}" name="18J" dataDxfId="326"/>
    <tableColumn id="28" xr3:uid="{8707628B-5097-4CA5-935C-3EC7B54E02AA}" name="19V" dataDxfId="325"/>
    <tableColumn id="29" xr3:uid="{EB3C0898-364E-4AE6-A4E0-B041BFB6A3E4}" name="20S" dataDxfId="324"/>
    <tableColumn id="30" xr3:uid="{57BD930E-0BA8-4FFA-A552-9DB079DECCD1}" name="21D" dataDxfId="323"/>
    <tableColumn id="31" xr3:uid="{94705175-D12F-483D-AB45-6871C3A84A5B}" name="22L" dataDxfId="322"/>
    <tableColumn id="32" xr3:uid="{8FECD43B-5BA4-4C64-8B6E-FA7435B96EAF}" name="23M" dataDxfId="321"/>
    <tableColumn id="33" xr3:uid="{DA65F6E8-6D2F-4932-BE71-351A954B48CD}" name="24W" dataDxfId="320"/>
    <tableColumn id="34" xr3:uid="{0A9AD2E9-324E-4A98-8412-19C419310325}" name="25J" dataDxfId="319"/>
    <tableColumn id="35" xr3:uid="{E048A35D-62D1-4ECC-8B12-0B1F1F67B953}" name="26V" dataDxfId="318"/>
    <tableColumn id="36" xr3:uid="{3D07995E-0C1E-495B-9F62-57C92CA8380F}" name="27S" dataDxfId="317"/>
    <tableColumn id="37" xr3:uid="{34DB180E-41EE-4FD4-931B-6B1B57CBF99D}" name="28D" dataDxfId="316"/>
    <tableColumn id="38" xr3:uid="{EE0B53C8-E75D-418F-8D17-0532B773037B}" name="29L" dataDxfId="315"/>
    <tableColumn id="39" xr3:uid="{47ACD18D-2BED-4AF9-A4CF-6E76A7153CA0}" name="30M" dataDxfId="314"/>
    <tableColumn id="40" xr3:uid="{0B631C06-FC05-4DD7-8119-006F8E40CCA5}" name="Columna1" dataDxfId="313"/>
    <tableColumn id="41" xr3:uid="{6219FB3A-9033-4CB7-B5CC-2B5716B2E32D}" name="T. DIA" dataDxfId="312">
      <calculatedColumnFormula>COUNTIF(Tabla13234446[[#This Row],[1L]:[Columna1]],"D12")</calculatedColumnFormula>
    </tableColumn>
    <tableColumn id="42" xr3:uid="{11C0ED0B-51ED-45AD-B574-F384097D62D3}" name="T. NOCHE" dataDxfId="311">
      <calculatedColumnFormula>COUNTIF(Tabla13234446[[#This Row],[1L]:[Columna1]],"N12")</calculatedColumnFormula>
    </tableColumn>
    <tableColumn id="43" xr3:uid="{78155F9C-65C5-44BE-9D8F-F6121F639DAA}" name="T. DESCANSOS" dataDxfId="310">
      <calculatedColumnFormula>COUNTBLANK(Tabla13234446[[#This Row],[1L]:[Columna1]])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EC16CF-3CDB-4852-BD32-BD3763461948}" name="Tabla13234449" displayName="Tabla13234449" ref="A454:AQ459" totalsRowShown="0" headerRowDxfId="309" dataDxfId="308" tableBorderDxfId="307">
  <autoFilter ref="A454:AQ459" xr:uid="{C5EC16CF-3CDB-4852-BD32-BD3763461948}"/>
  <tableColumns count="43">
    <tableColumn id="1" xr3:uid="{6E40DE22-EA4A-43C9-8119-41DDA3390179}" name="CLIENTE:"/>
    <tableColumn id="2" xr3:uid="{378645FA-096F-42F7-9681-22FAD865CE21}" name="COD PUESTO"/>
    <tableColumn id="3" xr3:uid="{F3F8A51D-6FB8-48C9-AF9D-AF6A7376761B}" name="ZONA "/>
    <tableColumn id="4" xr3:uid="{E2C85D4E-365D-46FC-BD1B-35876033ED2D}" name="DIRECCION"/>
    <tableColumn id="5" xr3:uid="{7CFA9E53-E65A-417D-B09D-240A96FFBC9A}" name="TIPO DE SERVICIO"/>
    <tableColumn id="6" xr3:uid="{A9FEA699-5394-42A3-8CC1-68C608E853ED}" name="CEDULA " dataDxfId="306"/>
    <tableColumn id="7" xr3:uid="{10656564-5858-475F-AAE4-1BA036403600}" name="APELLIDOS Y NOMBRES " dataDxfId="305"/>
    <tableColumn id="8" xr3:uid="{9DEA861C-2A27-4981-9359-E64C3297B082}" name="AÑO" dataDxfId="304"/>
    <tableColumn id="9" xr3:uid="{861D0A2E-78CC-43BE-93EC-46B651EA87FF}" name="MES" dataDxfId="303"/>
    <tableColumn id="10" xr3:uid="{6C43D2AF-C910-4619-8D7D-F10B82E500E8}" name="1L" dataDxfId="302"/>
    <tableColumn id="11" xr3:uid="{9A7CC13A-5972-45CD-B7C3-5B6E27D5B325}" name="2M" dataDxfId="301"/>
    <tableColumn id="12" xr3:uid="{83208EF1-EA87-4A2B-B31F-D127F6858832}" name="3W" dataDxfId="300"/>
    <tableColumn id="13" xr3:uid="{01CD7489-ADE7-429D-A720-57026A5838DF}" name="4J" dataDxfId="299"/>
    <tableColumn id="14" xr3:uid="{0FF4B2A6-E01B-4A32-8D9F-8F1CE729CDB7}" name="5V" dataDxfId="298"/>
    <tableColumn id="15" xr3:uid="{606DEDFE-1F40-4DCE-92DC-5F75249CC0B8}" name="6S" dataDxfId="297"/>
    <tableColumn id="16" xr3:uid="{63401DC8-D43B-4725-839C-79F7369C5C7E}" name="7D" dataDxfId="296"/>
    <tableColumn id="17" xr3:uid="{601D33A3-D7C2-440E-9C6F-513459A7F51E}" name="8L" dataDxfId="295"/>
    <tableColumn id="18" xr3:uid="{EF9DE1F5-1FA4-45AA-8564-1084A41E40F9}" name="9M" dataDxfId="294"/>
    <tableColumn id="19" xr3:uid="{398DC91F-8948-46A5-958A-08FF8606D966}" name="10W" dataDxfId="293"/>
    <tableColumn id="20" xr3:uid="{89C13E1D-54DE-4438-ADA3-83904BD22259}" name="11J" dataDxfId="292"/>
    <tableColumn id="21" xr3:uid="{F0DD78E2-0C2F-4041-84D2-B5B9EB6C1B7B}" name="12V" dataDxfId="291"/>
    <tableColumn id="22" xr3:uid="{7D543D41-9500-4EB4-8605-FE6A113DD771}" name="13S" dataDxfId="290"/>
    <tableColumn id="23" xr3:uid="{F4B5D7CB-B94C-4201-A1B2-F26141B3D202}" name="14D" dataDxfId="289"/>
    <tableColumn id="24" xr3:uid="{0964B1CD-473E-4E5B-8741-39B552C89440}" name="15L" dataDxfId="288"/>
    <tableColumn id="25" xr3:uid="{10D10F25-76E4-4960-A515-9C3078D4397A}" name="16M" dataDxfId="287"/>
    <tableColumn id="26" xr3:uid="{777235C5-C943-4C77-9F27-EA1BCFC64D91}" name="17W" dataDxfId="286"/>
    <tableColumn id="27" xr3:uid="{4F5BEFA3-B508-4BA6-BE35-F6D3DED4980A}" name="18J" dataDxfId="285"/>
    <tableColumn id="28" xr3:uid="{BD361373-B1E2-4262-9B9A-F0B2475E2F91}" name="19V" dataDxfId="284"/>
    <tableColumn id="29" xr3:uid="{71FD670A-D381-4A5E-9BBD-61AAB32CB584}" name="20S" dataDxfId="283"/>
    <tableColumn id="30" xr3:uid="{A0E411EB-9BF0-459F-9733-5D13ED374B87}" name="21D" dataDxfId="282"/>
    <tableColumn id="31" xr3:uid="{6E6E4254-EAB0-476A-9D94-4C650A4D8197}" name="22L" dataDxfId="281"/>
    <tableColumn id="32" xr3:uid="{785E6E19-27BE-46A8-A194-0FE0EA66B28C}" name="23M" dataDxfId="280"/>
    <tableColumn id="33" xr3:uid="{4D203AF2-F3B1-4DD3-8AE3-21EEE5654355}" name="24W" dataDxfId="279"/>
    <tableColumn id="34" xr3:uid="{FBE50D38-1FF8-4CEF-803D-5B07F955D7C4}" name="25J" dataDxfId="278"/>
    <tableColumn id="35" xr3:uid="{94712C3F-C595-418E-AB8F-60E72C21C2D0}" name="26V" dataDxfId="277"/>
    <tableColumn id="36" xr3:uid="{28869366-3A69-4DA9-8760-5818FE72D4FE}" name="27S" dataDxfId="276"/>
    <tableColumn id="37" xr3:uid="{16F58689-CD29-4E8E-90C0-AFD4A7942E70}" name="28D" dataDxfId="275"/>
    <tableColumn id="38" xr3:uid="{40488F8D-EF3A-4C73-A604-377BF8E3DC9B}" name="29L" dataDxfId="274"/>
    <tableColumn id="39" xr3:uid="{AEE061E3-C3F3-4A40-8A6D-2EE8CA7693A3}" name="30M" dataDxfId="273"/>
    <tableColumn id="40" xr3:uid="{14701B22-D279-4B63-B8B8-25C0DC40A281}" name="Columna1" dataDxfId="272"/>
    <tableColumn id="41" xr3:uid="{12E0FC0F-A9AF-483C-A91E-E6E8A755B8BC}" name="T. DIA" dataDxfId="271">
      <calculatedColumnFormula>COUNTIF(Tabla13234449[[#This Row],[1L]:[Columna1]],"D12")</calculatedColumnFormula>
    </tableColumn>
    <tableColumn id="42" xr3:uid="{426DEB73-155D-4AF2-8003-EC725E656E89}" name="T. NOCHE" dataDxfId="270">
      <calculatedColumnFormula>COUNTIF(Tabla13234449[[#This Row],[1L]:[Columna1]],"N12")</calculatedColumnFormula>
    </tableColumn>
    <tableColumn id="43" xr3:uid="{C0B6DDFB-5949-4378-BD5C-00E428799AC6}" name="T. DESCANSOS" dataDxfId="269">
      <calculatedColumnFormula>COUNTBLANK(Tabla13234449[[#This Row],[1L]:[Columna1]])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1C881C-0818-4A14-B4EF-51620DB9EB15}" name="Tabla132344497" displayName="Tabla132344497" ref="A491:AQ496" totalsRowShown="0" headerRowDxfId="268" dataDxfId="267" tableBorderDxfId="266">
  <autoFilter ref="A491:AQ496" xr:uid="{821C881C-0818-4A14-B4EF-51620DB9EB15}"/>
  <tableColumns count="43">
    <tableColumn id="1" xr3:uid="{DC0B743D-6352-42B8-9FD3-879C2AEB82C1}" name="CLIENTE:"/>
    <tableColumn id="2" xr3:uid="{15D9AE1B-07F8-4A19-AE61-D3D2FB4E7E95}" name="COD PUESTO"/>
    <tableColumn id="3" xr3:uid="{5266A8F8-E858-44D3-8AF9-7057DD71178A}" name="ZONA "/>
    <tableColumn id="4" xr3:uid="{1C6BEF39-8E1F-4536-93AE-639FF72A1ED8}" name="DIRECCION"/>
    <tableColumn id="5" xr3:uid="{2DC20247-F2ED-4614-BBEB-38E0E7262E1F}" name="TIPO DE SERVICIO"/>
    <tableColumn id="6" xr3:uid="{74DDF57D-538E-42A3-A513-EFDAA507A8F9}" name="CEDULA " dataDxfId="265"/>
    <tableColumn id="7" xr3:uid="{46FA73C7-BC27-40C4-AFBB-317A02D01D93}" name="APELLIDOS Y NOMBRES " dataDxfId="264"/>
    <tableColumn id="8" xr3:uid="{F816C042-4D4D-448D-ADFB-28E95BB2C4CD}" name="AÑO" dataDxfId="263"/>
    <tableColumn id="9" xr3:uid="{38980CDC-0804-4D07-99BB-8C3677350015}" name="MES" dataDxfId="262"/>
    <tableColumn id="10" xr3:uid="{8571B3EF-6740-45B4-B875-CB581FD10B70}" name="1L" dataDxfId="261"/>
    <tableColumn id="11" xr3:uid="{63C99E9B-664A-4F6C-8E07-01CFB1DF8941}" name="2M" dataDxfId="260"/>
    <tableColumn id="12" xr3:uid="{D53E5339-1623-47AC-8385-6B5D537E591A}" name="3W" dataDxfId="259"/>
    <tableColumn id="13" xr3:uid="{8C06ABBC-6E85-4D9C-9609-F500560C789B}" name="4J" dataDxfId="258"/>
    <tableColumn id="14" xr3:uid="{92635CBE-F3CE-490F-9F25-B557E662E673}" name="5V" dataDxfId="257"/>
    <tableColumn id="15" xr3:uid="{4F168517-37EE-49E2-9E3D-C9902292A6B9}" name="6S" dataDxfId="256"/>
    <tableColumn id="16" xr3:uid="{9D533364-98EB-4A24-9BE7-1FB4E71CD673}" name="7D" dataDxfId="255"/>
    <tableColumn id="17" xr3:uid="{8146F152-FA52-49BC-8109-6E50C084C71C}" name="8L" dataDxfId="254"/>
    <tableColumn id="18" xr3:uid="{060025CB-FFA8-4626-96A1-B5B91787C0F4}" name="9M" dataDxfId="253"/>
    <tableColumn id="19" xr3:uid="{42565BF7-67F7-4191-8CFE-2A75B56FA629}" name="10W" dataDxfId="252"/>
    <tableColumn id="20" xr3:uid="{621F74F8-FCF9-4FB2-A66A-CB3DDB4173B1}" name="11J" dataDxfId="251"/>
    <tableColumn id="21" xr3:uid="{F7378F40-DF00-4971-80EA-8EDDB374DA34}" name="12V" dataDxfId="250"/>
    <tableColumn id="22" xr3:uid="{C4493AD1-FF86-42AB-AF33-4CF100413FDD}" name="13S" dataDxfId="249"/>
    <tableColumn id="23" xr3:uid="{AC195D23-27AA-43CA-8828-1E750100A668}" name="14D" dataDxfId="248"/>
    <tableColumn id="24" xr3:uid="{098A1AB3-E18D-46F7-B63F-C0675F7887A2}" name="15L" dataDxfId="247"/>
    <tableColumn id="25" xr3:uid="{7162AAEF-6D52-4148-BD5E-8326CC458839}" name="16M" dataDxfId="246"/>
    <tableColumn id="26" xr3:uid="{D20221DA-AE1D-4F01-86EC-85047443E5C3}" name="17W" dataDxfId="245"/>
    <tableColumn id="27" xr3:uid="{3B4CEA47-8207-4850-8F01-F41ADB431D37}" name="18J" dataDxfId="244"/>
    <tableColumn id="28" xr3:uid="{3154AF5B-6465-4963-B30D-F65A2DF4EE4C}" name="19V" dataDxfId="243"/>
    <tableColumn id="29" xr3:uid="{4172092C-B471-4704-9917-37543C39616B}" name="20S" dataDxfId="242"/>
    <tableColumn id="30" xr3:uid="{57EFF181-1F2E-4213-9AA6-F4D71CD42337}" name="21D" dataDxfId="241"/>
    <tableColumn id="31" xr3:uid="{630766C9-270F-49C2-B9E6-2F11E15363CA}" name="22L" dataDxfId="240"/>
    <tableColumn id="32" xr3:uid="{9E9AFFC8-BC4D-4510-AC76-006EEF86E37E}" name="23M" dataDxfId="239"/>
    <tableColumn id="33" xr3:uid="{A1794D2B-C170-4679-B3A7-F48D84E59F86}" name="24W" dataDxfId="238"/>
    <tableColumn id="34" xr3:uid="{D4DAA18E-46AB-4297-A741-47B126102621}" name="25J" dataDxfId="237"/>
    <tableColumn id="35" xr3:uid="{FA69DE0D-19BA-44BF-893C-D24A2598D720}" name="26V" dataDxfId="236"/>
    <tableColumn id="36" xr3:uid="{4CF5786D-05C6-4207-A7BC-E0A6FF6174D5}" name="27S" dataDxfId="235"/>
    <tableColumn id="37" xr3:uid="{D68FEDE0-43DD-44E6-9410-76C5BCC91DD6}" name="28D" dataDxfId="234"/>
    <tableColumn id="38" xr3:uid="{72A6E3F3-85F6-4101-963A-8E67D6EF91AC}" name="29L" dataDxfId="233"/>
    <tableColumn id="39" xr3:uid="{3990429B-7CE8-4BA6-B766-BE8DD693ED86}" name="30M" dataDxfId="232"/>
    <tableColumn id="40" xr3:uid="{4E859453-1FA0-46FC-B2D3-032C531C887D}" name="Columna1" dataDxfId="231"/>
    <tableColumn id="41" xr3:uid="{91B6551B-39C8-4650-942E-91C3DAFCA0B2}" name="T. DIA" dataDxfId="230">
      <calculatedColumnFormula>COUNTIF(Tabla132344497[[#This Row],[1L]:[Columna1]],"D12")</calculatedColumnFormula>
    </tableColumn>
    <tableColumn id="42" xr3:uid="{65685B7A-94D4-4AFC-8059-6C4482ACB5E4}" name="T. NOCHE" dataDxfId="229">
      <calculatedColumnFormula>COUNTIF(Tabla132344497[[#This Row],[1L]:[Columna1]],"N12")</calculatedColumnFormula>
    </tableColumn>
    <tableColumn id="43" xr3:uid="{124C4259-12C4-4123-8D62-8F2B3BD2E485}" name="T. DESCANSOS" dataDxfId="228">
      <calculatedColumnFormula>COUNTBLANK(Tabla132344497[[#This Row],[1L]:[Columna1]])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C54481-E5D4-4657-BD73-F33629FD207E}" name="Tabla1323444913" displayName="Tabla1323444913" ref="A528:AQ533" totalsRowShown="0" headerRowDxfId="227" dataDxfId="226" tableBorderDxfId="225">
  <autoFilter ref="A528:AQ533" xr:uid="{89C54481-E5D4-4657-BD73-F33629FD207E}"/>
  <tableColumns count="43">
    <tableColumn id="1" xr3:uid="{B8892BC0-1451-45B4-8D1C-A42B87794FA4}" name="CLIENTE:"/>
    <tableColumn id="2" xr3:uid="{F9C43243-67DA-42CD-9B76-4F30C6187D3B}" name="COD PUESTO"/>
    <tableColumn id="3" xr3:uid="{EACB88C7-34EE-403E-8AC0-163D3FE83FFD}" name="ZONA "/>
    <tableColumn id="4" xr3:uid="{8CA68167-488C-4431-99D0-2805E94541C4}" name="DIRECCION"/>
    <tableColumn id="5" xr3:uid="{CE751CCB-FD88-4669-A3A4-AF6B8418C2EC}" name="TIPO DE SERVICIO"/>
    <tableColumn id="6" xr3:uid="{3C05B867-257F-4EE2-A870-DB81B9817FEA}" name="CEDULA " dataDxfId="224"/>
    <tableColumn id="7" xr3:uid="{6E834808-E360-4C02-A745-92BCCC612969}" name="APELLIDOS Y NOMBRES " dataDxfId="223"/>
    <tableColumn id="8" xr3:uid="{E1433B14-AB5B-482A-8EB3-C1A21AA0272B}" name="AÑO" dataDxfId="222"/>
    <tableColumn id="9" xr3:uid="{A4CC0483-955B-4C41-8297-DE9BC1F1A275}" name="MES" dataDxfId="221"/>
    <tableColumn id="10" xr3:uid="{EE430629-324B-4DC7-8F35-1BA251EB13CF}" name="1L" dataDxfId="220"/>
    <tableColumn id="11" xr3:uid="{03598DE7-2B10-4117-97FE-50F4ED403D8E}" name="2M" dataDxfId="219"/>
    <tableColumn id="12" xr3:uid="{2265D78F-F509-4D34-ABBC-BBBC898CC94C}" name="3W" dataDxfId="218"/>
    <tableColumn id="13" xr3:uid="{C2F68AA6-44A1-4541-B4FC-047AD54D6305}" name="4J" dataDxfId="217"/>
    <tableColumn id="14" xr3:uid="{74E1A80F-1D5C-43ED-B92B-A8581BAD7EB4}" name="5V" dataDxfId="216"/>
    <tableColumn id="15" xr3:uid="{52359F98-A9F9-48F0-AD79-947BBD710253}" name="6S" dataDxfId="215"/>
    <tableColumn id="16" xr3:uid="{60484B1A-B9ED-4F67-869B-6A24ED778099}" name="7D" dataDxfId="214"/>
    <tableColumn id="17" xr3:uid="{42589ECA-ACB4-4170-B637-B20257B21583}" name="8L" dataDxfId="213"/>
    <tableColumn id="18" xr3:uid="{37A89A3E-624F-4615-8841-FC4745791375}" name="9M" dataDxfId="212"/>
    <tableColumn id="19" xr3:uid="{84F474C1-6767-4B35-92E3-DABDE2376E36}" name="10W" dataDxfId="211"/>
    <tableColumn id="20" xr3:uid="{4574658E-8880-4071-81CF-596CBD015DAC}" name="11J" dataDxfId="210"/>
    <tableColumn id="21" xr3:uid="{26FBC998-E9C0-403F-8880-705B72CE75F4}" name="12V" dataDxfId="209"/>
    <tableColumn id="22" xr3:uid="{C7543CEA-4B9B-4334-AC4D-663EF6CF0B8D}" name="13S" dataDxfId="208"/>
    <tableColumn id="23" xr3:uid="{5564858E-A5BA-40C5-9581-E65844234DAE}" name="14D" dataDxfId="207"/>
    <tableColumn id="24" xr3:uid="{6DDCFC8B-65C5-43E4-B9B0-497DF03419EA}" name="15L" dataDxfId="206"/>
    <tableColumn id="25" xr3:uid="{D2A1F894-4EB9-419A-8813-FEBF3764E567}" name="16M" dataDxfId="205"/>
    <tableColumn id="26" xr3:uid="{A25D71D8-CD08-41AD-893B-EC79DCD550F0}" name="17W" dataDxfId="204"/>
    <tableColumn id="27" xr3:uid="{1389FC66-96AC-423B-BF56-A1CB105A9346}" name="18J" dataDxfId="203"/>
    <tableColumn id="28" xr3:uid="{ABFB12EF-0829-4BBF-9279-6EF306723DFE}" name="19V" dataDxfId="202"/>
    <tableColumn id="29" xr3:uid="{1E2DD5A2-6CFA-49DE-9E06-FABC73033B3E}" name="20S" dataDxfId="201"/>
    <tableColumn id="30" xr3:uid="{A9F4CED2-15EF-404A-9C24-C68AAB288162}" name="21D" dataDxfId="200"/>
    <tableColumn id="31" xr3:uid="{7DF9CB82-D454-492E-8876-1DD910083BE4}" name="22L" dataDxfId="199"/>
    <tableColumn id="32" xr3:uid="{6BA431F2-1B70-4340-862C-48A401739C7C}" name="23M" dataDxfId="198"/>
    <tableColumn id="33" xr3:uid="{A7BA7C35-00C9-44A9-A060-2A528EC41714}" name="24W" dataDxfId="197"/>
    <tableColumn id="34" xr3:uid="{EEFEB8AC-6082-481C-9C86-3D2878E9BAB7}" name="25J" dataDxfId="196"/>
    <tableColumn id="35" xr3:uid="{94AC500F-14CF-403F-B3FB-67E02C76A609}" name="26V" dataDxfId="195"/>
    <tableColumn id="36" xr3:uid="{679B7D0B-C64A-4B39-878E-B1D892FA4FC1}" name="27S" dataDxfId="194"/>
    <tableColumn id="37" xr3:uid="{9C6CB31E-5A2A-41D6-B514-01C379E9EE71}" name="28D" dataDxfId="193"/>
    <tableColumn id="38" xr3:uid="{17650611-F2C0-4F32-A32C-64745D217CD2}" name="29L" dataDxfId="192"/>
    <tableColumn id="39" xr3:uid="{2BFA9A62-319A-4BD0-9CCC-B26FEC64ED2E}" name="30M" dataDxfId="191"/>
    <tableColumn id="40" xr3:uid="{B8F2B73B-82E1-4CC7-A394-825F36DAD447}" name="Columna1" dataDxfId="190"/>
    <tableColumn id="41" xr3:uid="{D94755E5-61AE-436C-8171-1B627866990B}" name="T. DIA" dataDxfId="189">
      <calculatedColumnFormula>COUNTIF(Tabla1323444913[[#This Row],[1L]:[Columna1]],"D12")</calculatedColumnFormula>
    </tableColumn>
    <tableColumn id="42" xr3:uid="{ED457715-FB87-47B3-84BF-F851D86FF4AF}" name="T. NOCHE" dataDxfId="188">
      <calculatedColumnFormula>COUNTIF(Tabla1323444913[[#This Row],[1L]:[Columna1]],"N12")</calculatedColumnFormula>
    </tableColumn>
    <tableColumn id="43" xr3:uid="{40728286-2649-492A-8A32-558486237355}" name="T. DESCANSOS" dataDxfId="187">
      <calculatedColumnFormula>COUNTBLANK(Tabla1323444913[[#This Row],[1L]:[Columna1]])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3E1D047-E7DE-4778-907C-29042D1CD58B}" name="Tabla1323444916" displayName="Tabla1323444916" ref="A565:AQ570" totalsRowShown="0" headerRowDxfId="186" dataDxfId="185" tableBorderDxfId="184">
  <autoFilter ref="A565:AQ570" xr:uid="{63E1D047-E7DE-4778-907C-29042D1CD58B}"/>
  <tableColumns count="43">
    <tableColumn id="1" xr3:uid="{105B02F6-E667-4E22-BE1D-1E3973E2634D}" name="CLIENTE:"/>
    <tableColumn id="2" xr3:uid="{810CDA4E-2349-4BB6-A553-C329E55D7FC3}" name="COD PUESTO"/>
    <tableColumn id="3" xr3:uid="{751AA6D1-37C9-4611-9FDB-89EC0AE930DC}" name="ZONA "/>
    <tableColumn id="4" xr3:uid="{142CB6BE-F9FD-4E7B-AC1E-D0B686644745}" name="DIRECCION"/>
    <tableColumn id="5" xr3:uid="{52DF4B96-D5AA-498D-8109-692A9316CAA3}" name="TIPO DE SERVICIO"/>
    <tableColumn id="6" xr3:uid="{5B04422D-D7AA-4812-A7C2-32BE361208F8}" name="CEDULA " dataDxfId="183"/>
    <tableColumn id="7" xr3:uid="{82EF2B30-FEB9-4EDA-9FFA-136B58E96B16}" name="APELLIDOS Y NOMBRES " dataDxfId="182"/>
    <tableColumn id="8" xr3:uid="{6B7ED8C2-D3F8-4C40-9A2E-3586E2AF6125}" name="AÑO" dataDxfId="181"/>
    <tableColumn id="9" xr3:uid="{FBFC0CBD-6FF8-40B2-96EC-682E45DC7634}" name="MES" dataDxfId="180"/>
    <tableColumn id="10" xr3:uid="{4FE1563F-CAA7-42BC-8DCC-CB5637F196C4}" name="1L" dataDxfId="179"/>
    <tableColumn id="11" xr3:uid="{1B8031A2-B8D8-4B95-91D1-39A8B77C819A}" name="2M" dataDxfId="178"/>
    <tableColumn id="12" xr3:uid="{6F6AEE86-9319-4082-8434-B88EF3351FC4}" name="3W" dataDxfId="177"/>
    <tableColumn id="13" xr3:uid="{038EB6AF-7033-47D5-B929-84244814FACC}" name="4J" dataDxfId="176"/>
    <tableColumn id="14" xr3:uid="{5A96D50D-9F1B-49BC-9659-4E274A2C1F39}" name="5V" dataDxfId="175"/>
    <tableColumn id="15" xr3:uid="{C9E4AAC3-A0CC-4A52-9883-12964AEC7744}" name="6S" dataDxfId="174"/>
    <tableColumn id="16" xr3:uid="{E5CAB9B3-DC1A-49BC-BD2E-7ECA9DCCB854}" name="7D" dataDxfId="173"/>
    <tableColumn id="17" xr3:uid="{56C738C6-E270-4D1D-8CDA-CC60555890DF}" name="8L" dataDxfId="172"/>
    <tableColumn id="18" xr3:uid="{09A31245-231E-4EAD-9F92-347FD455C8DC}" name="9M" dataDxfId="171"/>
    <tableColumn id="19" xr3:uid="{9E93C8E7-5EA0-438F-88C8-A5FCD4C8E05C}" name="10W" dataDxfId="170"/>
    <tableColumn id="20" xr3:uid="{22BE6663-5444-4FDD-A3F8-00E33BE2E4FC}" name="11J" dataDxfId="169"/>
    <tableColumn id="21" xr3:uid="{50FDB641-B3E8-40A8-AE42-3C2F46A26432}" name="12V" dataDxfId="168"/>
    <tableColumn id="22" xr3:uid="{4878875C-92FC-46D4-ABCE-A2A2430A07F1}" name="13S" dataDxfId="167"/>
    <tableColumn id="23" xr3:uid="{9704C79E-9B32-4903-87B7-06D3880A88EA}" name="14D" dataDxfId="166"/>
    <tableColumn id="24" xr3:uid="{A8D58F9D-961A-471D-90AD-6BFF717568BA}" name="15L" dataDxfId="165"/>
    <tableColumn id="25" xr3:uid="{BBBC41EE-9562-4CD5-851C-191EAF4F00C9}" name="16M" dataDxfId="164"/>
    <tableColumn id="26" xr3:uid="{5021D69A-DB87-40A2-803B-B2847DCB24C9}" name="17W" dataDxfId="163"/>
    <tableColumn id="27" xr3:uid="{59887FF7-030C-4BF0-995C-A290676E6F37}" name="18J" dataDxfId="162"/>
    <tableColumn id="28" xr3:uid="{DDD0BACA-D3BC-4451-BD3D-63A1B36AF9E6}" name="19V" dataDxfId="161"/>
    <tableColumn id="29" xr3:uid="{BF59341E-510B-4D96-A3F4-8475E1EF6EC7}" name="20S" dataDxfId="160"/>
    <tableColumn id="30" xr3:uid="{1A34F13A-37F0-4E5B-9009-574537F1F113}" name="21D" dataDxfId="159"/>
    <tableColumn id="31" xr3:uid="{B51C250D-F084-47CA-A380-045A1CFF40A3}" name="22L" dataDxfId="158"/>
    <tableColumn id="32" xr3:uid="{7D52E7EF-F040-4FC9-9CF0-AF7E9445CA71}" name="23M" dataDxfId="157"/>
    <tableColumn id="33" xr3:uid="{175033FD-A529-468B-8DDF-E953EF94355C}" name="24W" dataDxfId="156"/>
    <tableColumn id="34" xr3:uid="{96D18ADA-7367-4454-87E8-819893D900D2}" name="25J" dataDxfId="155"/>
    <tableColumn id="35" xr3:uid="{D70C29A2-9D0B-4714-8CDD-EF743B688241}" name="26V" dataDxfId="154"/>
    <tableColumn id="36" xr3:uid="{FF75A54E-A9E3-41D5-8111-18AF3A41D88F}" name="27S" dataDxfId="153"/>
    <tableColumn id="37" xr3:uid="{AD3BF1A9-B358-45F3-AE02-83EECD2914A3}" name="28D" dataDxfId="152"/>
    <tableColumn id="38" xr3:uid="{F323A56E-8242-4EEB-BA3B-759B7D7B3542}" name="29L" dataDxfId="151"/>
    <tableColumn id="39" xr3:uid="{1037C679-D30C-44E1-AD26-B9D281C5571A}" name="30M" dataDxfId="150"/>
    <tableColumn id="40" xr3:uid="{966D41BB-085D-4DE1-9B43-E12D25178796}" name="Columna1" dataDxfId="149"/>
    <tableColumn id="41" xr3:uid="{C6BE072F-2692-46A4-940D-8C582F31A338}" name="T. DIA" dataDxfId="148">
      <calculatedColumnFormula>COUNTIF(Tabla1323444916[[#This Row],[1L]:[Columna1]],"D12")</calculatedColumnFormula>
    </tableColumn>
    <tableColumn id="42" xr3:uid="{AB8398DE-6227-4BEB-B18F-54AF409B85F1}" name="T. NOCHE" dataDxfId="147">
      <calculatedColumnFormula>COUNTIF(Tabla1323444916[[#This Row],[1L]:[Columna1]],"N12")</calculatedColumnFormula>
    </tableColumn>
    <tableColumn id="43" xr3:uid="{E9AF4CA3-8376-487A-A3A7-0EAC2D2ECF9C}" name="T. DESCANSOS" dataDxfId="146">
      <calculatedColumnFormula>COUNTBLANK(Tabla1323444916[[#This Row],[1L]:[Columna1]])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A9400F-5947-46F9-B0F4-84463DECE98A}" name="Tabla1323444922" displayName="Tabla1323444922" ref="A602:AQ607" totalsRowShown="0" headerRowDxfId="145" dataDxfId="144" tableBorderDxfId="143">
  <autoFilter ref="A602:AQ607" xr:uid="{07A9400F-5947-46F9-B0F4-84463DECE98A}"/>
  <tableColumns count="43">
    <tableColumn id="1" xr3:uid="{03660275-5A63-4DF5-97F1-331B4DC42A14}" name="CLIENTE:"/>
    <tableColumn id="2" xr3:uid="{F3166072-C5D3-4C71-8A88-B7EA103ABD7D}" name="COD PUESTO"/>
    <tableColumn id="3" xr3:uid="{CB370774-BC9A-4394-B224-43AF0062A572}" name="ZONA "/>
    <tableColumn id="4" xr3:uid="{85F70309-F981-4762-AE35-CA38AC577237}" name="DIRECCION"/>
    <tableColumn id="5" xr3:uid="{29870224-8D82-4507-A43D-FCF591E15AE5}" name="TIPO DE SERVICIO"/>
    <tableColumn id="6" xr3:uid="{965EB4F0-B550-43C5-AB68-3188CE6694F7}" name="CEDULA " dataDxfId="142"/>
    <tableColumn id="7" xr3:uid="{8008E9D9-F353-4D0C-8C3D-DB8AE7242797}" name="APELLIDOS Y NOMBRES " dataDxfId="141"/>
    <tableColumn id="8" xr3:uid="{2DDABFAF-D139-48BC-A151-EBBB622D1F6C}" name="AÑO" dataDxfId="140"/>
    <tableColumn id="9" xr3:uid="{8E9B3C7D-79BB-4C2F-A021-639E4D60429E}" name="MES" dataDxfId="139"/>
    <tableColumn id="10" xr3:uid="{5165DFC1-B316-4F0E-AB01-815319E438B5}" name="1L" dataDxfId="138"/>
    <tableColumn id="11" xr3:uid="{28E6251E-76D4-4E71-A12C-E8BE913CB0DF}" name="2M" dataDxfId="137"/>
    <tableColumn id="12" xr3:uid="{0CDD9223-276E-4894-969B-D60B08F00484}" name="3W" dataDxfId="136"/>
    <tableColumn id="13" xr3:uid="{326380EF-C6C3-4E00-90A3-4EE84F015E22}" name="4J" dataDxfId="135"/>
    <tableColumn id="14" xr3:uid="{FE7708EF-C40E-4B1E-AA41-1694D1C3135E}" name="5V" dataDxfId="134"/>
    <tableColumn id="15" xr3:uid="{4FE65BE8-57BA-4F8C-8E46-227D0B996B0A}" name="6S" dataDxfId="133"/>
    <tableColumn id="16" xr3:uid="{47D7816A-3059-486B-9CC3-4FBC2383AD1A}" name="7D" dataDxfId="132"/>
    <tableColumn id="17" xr3:uid="{AB3872AF-5D87-4BD0-B088-7FB46FAD1F18}" name="8L" dataDxfId="131"/>
    <tableColumn id="18" xr3:uid="{A0518181-343F-4BBE-95DB-47D17F80B683}" name="9M" dataDxfId="130"/>
    <tableColumn id="19" xr3:uid="{1D7F1115-60E9-4DD3-8917-17F5E59DF946}" name="10W" dataDxfId="129"/>
    <tableColumn id="20" xr3:uid="{E5C91AEE-3A87-4AB4-A0B1-7998CECF2FF4}" name="11J" dataDxfId="128"/>
    <tableColumn id="21" xr3:uid="{E042D03D-7E81-4CD5-9072-68818AE0BE0C}" name="12V" dataDxfId="127"/>
    <tableColumn id="22" xr3:uid="{590E904E-F400-42C9-B39C-CA9FFA88654B}" name="13S" dataDxfId="126"/>
    <tableColumn id="23" xr3:uid="{0C69A885-E3B6-4FD8-AA98-AA0D60F8992D}" name="14D" dataDxfId="125"/>
    <tableColumn id="24" xr3:uid="{FAF6070A-AA20-4F40-BDFE-E255447DDE8B}" name="15L" dataDxfId="124"/>
    <tableColumn id="25" xr3:uid="{3CE4D248-BA15-4668-B569-2353378FD3E1}" name="16M" dataDxfId="123"/>
    <tableColumn id="26" xr3:uid="{34E14C2A-3A1D-45AF-8987-0F7D47F1ABE6}" name="17W" dataDxfId="122"/>
    <tableColumn id="27" xr3:uid="{DF52E4A0-7C73-4502-91FD-7277D3A91413}" name="18J" dataDxfId="121"/>
    <tableColumn id="28" xr3:uid="{BFBAB859-3C2F-45CF-9783-9560B2DA07C8}" name="19V" dataDxfId="120"/>
    <tableColumn id="29" xr3:uid="{F8B8DE9F-3BA2-45FF-BE60-1B2C3B31E550}" name="20S" dataDxfId="119"/>
    <tableColumn id="30" xr3:uid="{CD44357B-F8C2-4DEC-B355-93EBFAE4ACB7}" name="21D" dataDxfId="118"/>
    <tableColumn id="31" xr3:uid="{A1F9C2F5-6E75-4370-AC67-931FBF77EE72}" name="22L" dataDxfId="117"/>
    <tableColumn id="32" xr3:uid="{BDD3B82E-0F38-4B20-96D6-36B3A7E59301}" name="23M" dataDxfId="116"/>
    <tableColumn id="33" xr3:uid="{F7108B77-AFB0-42D5-9FE8-E09041A12E7A}" name="24W" dataDxfId="115"/>
    <tableColumn id="34" xr3:uid="{A210540B-8841-4E1E-A97B-0A4B274E5073}" name="25J" dataDxfId="114"/>
    <tableColumn id="35" xr3:uid="{4A32F020-C727-4015-BFB7-0E3B988E15D3}" name="26V" dataDxfId="113"/>
    <tableColumn id="36" xr3:uid="{70C2B3EC-B243-4BD4-B9FB-643937F11841}" name="27S" dataDxfId="112"/>
    <tableColumn id="37" xr3:uid="{2C358411-AC96-4629-A39B-A92F235E8FCA}" name="28D" dataDxfId="111"/>
    <tableColumn id="38" xr3:uid="{D80F3271-98E5-4AC6-8BCC-423416E15F35}" name="29L" dataDxfId="110"/>
    <tableColumn id="39" xr3:uid="{30F9DB33-70CF-4992-86EA-5F98B6CFAFD0}" name="30M" dataDxfId="109"/>
    <tableColumn id="40" xr3:uid="{ACEBB471-E97E-4E92-81AB-5B72507311D8}" name="Columna1" dataDxfId="108"/>
    <tableColumn id="41" xr3:uid="{BE4F0806-8280-4444-B530-5DDDB667EFDC}" name="T. DIA" dataDxfId="107">
      <calculatedColumnFormula>COUNTIF(Tabla1323444922[[#This Row],[1L]:[Columna1]],"D12")</calculatedColumnFormula>
    </tableColumn>
    <tableColumn id="42" xr3:uid="{E9030E92-105F-4305-AC8C-E2A242E44719}" name="T. NOCHE" dataDxfId="106">
      <calculatedColumnFormula>COUNTIF(Tabla1323444922[[#This Row],[1L]:[Columna1]],"N12")</calculatedColumnFormula>
    </tableColumn>
    <tableColumn id="43" xr3:uid="{30D3D65E-B36E-429C-A060-E999C2E8AE7D}" name="T. DESCANSOS" dataDxfId="105">
      <calculatedColumnFormula>COUNTBLANK(Tabla1323444922[[#This Row],[1L]:[Columna1]])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F339DD-5638-466C-A440-DEB60C27579B}" name="Tabla13234428" displayName="Tabla13234428" ref="A338:AQ357" totalsRowShown="0" headerRowDxfId="104" dataDxfId="103" tableBorderDxfId="102">
  <autoFilter ref="A338:AQ357" xr:uid="{94F339DD-5638-466C-A440-DEB60C27579B}"/>
  <tableColumns count="43">
    <tableColumn id="1" xr3:uid="{4386BCCC-0F70-43A5-ABA0-4B6C05430DA0}" name="CLIENTE:"/>
    <tableColumn id="2" xr3:uid="{4E20A964-01B9-40EA-B9EE-CC9058679235}" name="COD PUESTO"/>
    <tableColumn id="3" xr3:uid="{A7D54495-9A9C-43B5-B961-82F511D888BC}" name="ZONA "/>
    <tableColumn id="4" xr3:uid="{00051E8D-5C18-41C9-825B-8E1C04D42C7F}" name="DIRECCION"/>
    <tableColumn id="5" xr3:uid="{F7426DBE-7ED3-4CCE-A448-8DAB436CB119}" name="TIPO DE SERVICIO"/>
    <tableColumn id="6" xr3:uid="{A6ACAAB1-D37D-4676-9C4C-B3FA9BCE55F2}" name="CEDULA " dataDxfId="101"/>
    <tableColumn id="7" xr3:uid="{0E354811-F871-4006-9816-88F68766B1EF}" name="APELLIDOS Y NOMBRES " dataDxfId="100"/>
    <tableColumn id="8" xr3:uid="{7F05F2D3-8751-4C0C-8D92-3C7FCC85FEBF}" name="AÑO" dataDxfId="99"/>
    <tableColumn id="9" xr3:uid="{3D121649-5E73-4E83-9E0D-29B7D418FD3C}" name="MES" dataDxfId="98"/>
    <tableColumn id="10" xr3:uid="{07DFD1D5-297C-45C0-AB66-9E98004D0E8D}" name="1L" dataDxfId="97"/>
    <tableColumn id="11" xr3:uid="{8447D4B2-C477-4A94-B326-C95C49A3A6B7}" name="2M" dataDxfId="96"/>
    <tableColumn id="12" xr3:uid="{E1641404-6BC4-41AA-82DA-C96892A027BE}" name="3W" dataDxfId="95"/>
    <tableColumn id="13" xr3:uid="{97A0E8C7-6C1B-4476-A58B-87FC14F8E3CB}" name="4J" dataDxfId="94"/>
    <tableColumn id="14" xr3:uid="{E0EEC527-545A-4CFE-9AD7-B9AE5756C50E}" name="5V" dataDxfId="93"/>
    <tableColumn id="15" xr3:uid="{BBC2FF65-7B1D-4C2B-B471-FDF358FFAABB}" name="6S" dataDxfId="92"/>
    <tableColumn id="16" xr3:uid="{2F31051B-0E7A-4114-92D0-EED606E55657}" name="7D" dataDxfId="91"/>
    <tableColumn id="17" xr3:uid="{CA8CFA14-9D49-46A9-B685-62A04691F645}" name="8L" dataDxfId="90"/>
    <tableColumn id="18" xr3:uid="{6D06306E-CB73-45FC-B024-B6553AB21418}" name="9M" dataDxfId="89"/>
    <tableColumn id="19" xr3:uid="{263E5D68-C820-4171-A6CB-668AE2822361}" name="10W" dataDxfId="88"/>
    <tableColumn id="20" xr3:uid="{3DCF7A9E-2353-49FA-A51D-05CED6F42CF0}" name="11J" dataDxfId="87"/>
    <tableColumn id="21" xr3:uid="{F88AAD71-97E2-44A4-93DB-367E382B3093}" name="12V" dataDxfId="86"/>
    <tableColumn id="22" xr3:uid="{9457C841-410E-4DC5-AC54-A2FCDA59EEDA}" name="13S" dataDxfId="85"/>
    <tableColumn id="23" xr3:uid="{FEAFE799-0736-4B26-B6F7-1F76CCD9194E}" name="14D" dataDxfId="84"/>
    <tableColumn id="24" xr3:uid="{9D1BDD95-FF4B-4699-8235-C194C5398676}" name="15L" dataDxfId="83"/>
    <tableColumn id="25" xr3:uid="{94BFA6B5-8C94-4425-B33F-855F235899A3}" name="16M" dataDxfId="82"/>
    <tableColumn id="26" xr3:uid="{8B09C0A9-45B9-4748-AF8A-076C7DCE5895}" name="17W" dataDxfId="81"/>
    <tableColumn id="27" xr3:uid="{2593B31A-C00F-4F53-998D-D19526C99900}" name="18J" dataDxfId="80"/>
    <tableColumn id="28" xr3:uid="{A5290E3B-BEBD-433D-9371-B0D8A3C10A76}" name="19V" dataDxfId="79"/>
    <tableColumn id="29" xr3:uid="{A8BDBE41-8B99-464D-8EA7-4E0E17278386}" name="20S" dataDxfId="78"/>
    <tableColumn id="30" xr3:uid="{B4A36A3A-EAE3-4494-9D4D-103A41FF53C7}" name="21D" dataDxfId="77"/>
    <tableColumn id="31" xr3:uid="{66D45F99-458A-4ACE-A0CE-E86131B5B5A9}" name="22L" dataDxfId="76"/>
    <tableColumn id="32" xr3:uid="{C97C7E79-486C-476E-A2D9-B71A531B21E0}" name="23M" dataDxfId="75"/>
    <tableColumn id="33" xr3:uid="{9A792DC0-5158-49DB-BBF7-FD12BB1DA788}" name="24W" dataDxfId="74"/>
    <tableColumn id="34" xr3:uid="{C6C717C9-169E-4F9B-8579-577BCC8FC36D}" name="25J" dataDxfId="73"/>
    <tableColumn id="35" xr3:uid="{9E102823-C053-4941-BB99-F8040B1149E6}" name="26V" dataDxfId="72"/>
    <tableColumn id="36" xr3:uid="{1E456CC7-84EB-4312-AD1C-1DADB4CDE959}" name="27S" dataDxfId="71"/>
    <tableColumn id="37" xr3:uid="{A953E1D9-6182-40AE-9A0D-B559416B3741}" name="28D" dataDxfId="70"/>
    <tableColumn id="38" xr3:uid="{F1228F7B-237D-4D1C-A966-C42B4C8A19B4}" name="29L" dataDxfId="69"/>
    <tableColumn id="39" xr3:uid="{AC29ADDC-37B0-436A-BC0F-77615C0F2684}" name="30M" dataDxfId="68"/>
    <tableColumn id="40" xr3:uid="{D13751FB-2D23-4B4D-B616-30278AF53BE6}" name="Columna1" dataDxfId="67"/>
    <tableColumn id="41" xr3:uid="{A5FA857D-2E5E-49CA-AA57-FB5212762AF2}" name="T. DIA" dataDxfId="66">
      <calculatedColumnFormula>COUNTIF(Tabla13234428[[#This Row],[1L]:[Columna1]],"D12")</calculatedColumnFormula>
    </tableColumn>
    <tableColumn id="42" xr3:uid="{69D9C96F-B5F8-469E-92CC-E1A46A90473D}" name="T. NOCHE" dataDxfId="65">
      <calculatedColumnFormula>COUNTIF(Tabla13234428[[#This Row],[1L]:[Columna1]],"N12")</calculatedColumnFormula>
    </tableColumn>
    <tableColumn id="43" xr3:uid="{41CD7866-FE3F-4783-9710-A7B685FD3608}" name="T. DESCANSOS" dataDxfId="64">
      <calculatedColumnFormula>COUNTBLANK(Tabla13234428[[#This Row],[1L]:[Columna1]])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18"/>
  <sheetViews>
    <sheetView tabSelected="1" topLeftCell="A11" zoomScale="70" zoomScaleNormal="70" workbookViewId="0">
      <selection activeCell="AE27" sqref="AE27"/>
    </sheetView>
  </sheetViews>
  <sheetFormatPr baseColWidth="10" defaultColWidth="10.7109375" defaultRowHeight="15" x14ac:dyDescent="0.25"/>
  <cols>
    <col min="1" max="5" width="4.42578125" customWidth="1"/>
    <col min="6" max="6" width="16" customWidth="1"/>
    <col min="7" max="7" width="25.28515625" customWidth="1"/>
    <col min="8" max="8" width="5.7109375" customWidth="1"/>
    <col min="9" max="9" width="8.140625" customWidth="1"/>
    <col min="10" max="40" width="7.28515625" customWidth="1"/>
    <col min="41" max="41" width="17.85546875" customWidth="1"/>
    <col min="42" max="43" width="12" customWidth="1"/>
    <col min="46" max="46" width="8.5703125" customWidth="1"/>
    <col min="47" max="47" width="8.140625" customWidth="1"/>
  </cols>
  <sheetData>
    <row r="1" spans="1:52" x14ac:dyDescent="0.25">
      <c r="C1" s="1"/>
      <c r="D1" s="1"/>
      <c r="E1" s="1"/>
      <c r="F1" s="283" t="s">
        <v>0</v>
      </c>
      <c r="G1" s="284"/>
      <c r="H1" s="309" t="s">
        <v>1</v>
      </c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1"/>
      <c r="AI1" s="289" t="s">
        <v>2</v>
      </c>
      <c r="AJ1" s="289"/>
      <c r="AK1" s="289"/>
      <c r="AL1" s="289"/>
      <c r="AM1" s="289"/>
      <c r="AN1" s="289"/>
      <c r="AO1" s="3"/>
      <c r="AP1" s="3"/>
      <c r="AQ1" s="3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C2" s="1"/>
      <c r="D2" s="1"/>
      <c r="E2" s="1"/>
      <c r="F2" s="285"/>
      <c r="G2" s="286"/>
      <c r="H2" s="343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5"/>
      <c r="AI2" s="289"/>
      <c r="AJ2" s="289"/>
      <c r="AK2" s="289"/>
      <c r="AL2" s="289"/>
      <c r="AM2" s="289"/>
      <c r="AN2" s="289"/>
      <c r="AO2" s="3"/>
      <c r="AP2" s="3"/>
      <c r="AQ2" s="3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C3" s="1"/>
      <c r="D3" s="1"/>
      <c r="E3" s="1"/>
      <c r="F3" s="285"/>
      <c r="G3" s="286"/>
      <c r="H3" s="307" t="s">
        <v>3</v>
      </c>
      <c r="I3" s="290"/>
      <c r="J3" s="290"/>
      <c r="K3" s="291" t="s">
        <v>4</v>
      </c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2"/>
      <c r="AI3" s="289" t="s">
        <v>5</v>
      </c>
      <c r="AJ3" s="289"/>
      <c r="AK3" s="289"/>
      <c r="AL3" s="289"/>
      <c r="AM3" s="289"/>
      <c r="AN3" s="289"/>
      <c r="AO3" s="3"/>
      <c r="AP3" s="3"/>
      <c r="AQ3" s="3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C4" s="1"/>
      <c r="D4" s="1"/>
      <c r="E4" s="1"/>
      <c r="F4" s="285"/>
      <c r="G4" s="286"/>
      <c r="H4" s="5" t="s">
        <v>6</v>
      </c>
      <c r="I4" s="6"/>
      <c r="J4" s="6"/>
      <c r="K4" s="291" t="s">
        <v>7</v>
      </c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2"/>
      <c r="AI4" s="289"/>
      <c r="AJ4" s="289"/>
      <c r="AK4" s="289"/>
      <c r="AL4" s="289"/>
      <c r="AM4" s="289"/>
      <c r="AN4" s="289"/>
      <c r="AO4" s="3"/>
      <c r="AP4" s="3"/>
      <c r="AQ4" s="3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C5" s="1"/>
      <c r="D5" s="1"/>
      <c r="E5" s="1"/>
      <c r="F5" s="285"/>
      <c r="G5" s="286"/>
      <c r="H5" s="307" t="s">
        <v>8</v>
      </c>
      <c r="I5" s="290"/>
      <c r="J5" s="290"/>
      <c r="K5" s="291" t="s">
        <v>9</v>
      </c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2"/>
      <c r="AI5" s="289" t="s">
        <v>10</v>
      </c>
      <c r="AJ5" s="289"/>
      <c r="AK5" s="289"/>
      <c r="AL5" s="289"/>
      <c r="AM5" s="289"/>
      <c r="AN5" s="289"/>
      <c r="AO5" s="3"/>
      <c r="AP5" s="3"/>
      <c r="AQ5" s="3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C6" s="1"/>
      <c r="D6" s="1"/>
      <c r="E6" s="1"/>
      <c r="F6" s="287"/>
      <c r="G6" s="288"/>
      <c r="H6" s="308" t="s">
        <v>11</v>
      </c>
      <c r="I6" s="293"/>
      <c r="J6" s="293"/>
      <c r="K6" s="294" t="s">
        <v>12</v>
      </c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5"/>
      <c r="AI6" s="289"/>
      <c r="AJ6" s="289"/>
      <c r="AK6" s="289"/>
      <c r="AL6" s="289"/>
      <c r="AM6" s="289"/>
      <c r="AN6" s="289"/>
      <c r="AO6" s="2"/>
      <c r="AP6" s="2"/>
      <c r="AQ6" s="2"/>
      <c r="AR6" s="300" t="s">
        <v>13</v>
      </c>
      <c r="AS6" s="300"/>
      <c r="AT6" s="300" t="s">
        <v>14</v>
      </c>
      <c r="AU6" s="300"/>
      <c r="AV6" s="300"/>
      <c r="AW6" s="4"/>
      <c r="AX6" s="4"/>
      <c r="AY6" s="4"/>
      <c r="AZ6" s="4"/>
    </row>
    <row r="7" spans="1:52" ht="18.75" x14ac:dyDescent="0.25">
      <c r="A7" s="7" t="s">
        <v>15</v>
      </c>
      <c r="B7" s="8" t="s">
        <v>16</v>
      </c>
      <c r="C7" s="9" t="s">
        <v>17</v>
      </c>
      <c r="D7" s="9" t="s">
        <v>18</v>
      </c>
      <c r="E7" s="9" t="s">
        <v>19</v>
      </c>
      <c r="F7" s="10" t="s">
        <v>20</v>
      </c>
      <c r="G7" s="7" t="s">
        <v>21</v>
      </c>
      <c r="H7" s="7" t="s">
        <v>22</v>
      </c>
      <c r="I7" s="7" t="s">
        <v>23</v>
      </c>
      <c r="J7" s="247" t="s">
        <v>132</v>
      </c>
      <c r="K7" s="247" t="s">
        <v>133</v>
      </c>
      <c r="L7" s="247" t="s">
        <v>134</v>
      </c>
      <c r="M7" s="247" t="s">
        <v>135</v>
      </c>
      <c r="N7" s="247" t="s">
        <v>136</v>
      </c>
      <c r="O7" s="247" t="s">
        <v>137</v>
      </c>
      <c r="P7" s="155" t="s">
        <v>138</v>
      </c>
      <c r="Q7" s="155" t="s">
        <v>139</v>
      </c>
      <c r="R7" s="247" t="s">
        <v>140</v>
      </c>
      <c r="S7" s="247" t="s">
        <v>141</v>
      </c>
      <c r="T7" s="247" t="s">
        <v>142</v>
      </c>
      <c r="U7" s="247" t="s">
        <v>143</v>
      </c>
      <c r="V7" s="247" t="s">
        <v>144</v>
      </c>
      <c r="W7" s="155" t="s">
        <v>145</v>
      </c>
      <c r="X7" s="155" t="s">
        <v>146</v>
      </c>
      <c r="Y7" s="247" t="s">
        <v>147</v>
      </c>
      <c r="Z7" s="247" t="s">
        <v>148</v>
      </c>
      <c r="AA7" s="247" t="s">
        <v>149</v>
      </c>
      <c r="AB7" s="247" t="s">
        <v>150</v>
      </c>
      <c r="AC7" s="247" t="s">
        <v>151</v>
      </c>
      <c r="AD7" s="155" t="s">
        <v>152</v>
      </c>
      <c r="AE7" s="247" t="s">
        <v>153</v>
      </c>
      <c r="AF7" s="247" t="s">
        <v>154</v>
      </c>
      <c r="AG7" s="247" t="s">
        <v>155</v>
      </c>
      <c r="AH7" s="248" t="s">
        <v>156</v>
      </c>
      <c r="AI7" s="247" t="s">
        <v>157</v>
      </c>
      <c r="AJ7" s="247" t="s">
        <v>158</v>
      </c>
      <c r="AK7" s="155" t="s">
        <v>159</v>
      </c>
      <c r="AL7" s="155" t="s">
        <v>160</v>
      </c>
      <c r="AM7" s="247" t="s">
        <v>161</v>
      </c>
      <c r="AN7" s="249" t="s">
        <v>162</v>
      </c>
      <c r="AO7" s="11" t="s">
        <v>24</v>
      </c>
      <c r="AP7" s="11" t="s">
        <v>25</v>
      </c>
      <c r="AQ7" s="11" t="s">
        <v>26</v>
      </c>
      <c r="AR7" s="340">
        <v>0.75</v>
      </c>
      <c r="AS7" s="341"/>
      <c r="AT7" s="340">
        <v>0.25</v>
      </c>
      <c r="AU7" s="342"/>
      <c r="AV7" s="341"/>
      <c r="AW7" s="9"/>
    </row>
    <row r="8" spans="1:52" x14ac:dyDescent="0.25">
      <c r="F8" s="205">
        <v>3367406</v>
      </c>
      <c r="G8" s="209" t="s">
        <v>27</v>
      </c>
      <c r="H8" s="15">
        <v>2026</v>
      </c>
      <c r="I8" s="15" t="s">
        <v>163</v>
      </c>
      <c r="J8" s="163" t="s">
        <v>29</v>
      </c>
      <c r="K8" s="163" t="s">
        <v>29</v>
      </c>
      <c r="L8" s="163" t="s">
        <v>29</v>
      </c>
      <c r="M8" s="161"/>
      <c r="N8" s="161"/>
      <c r="O8" s="162"/>
      <c r="P8" s="160" t="s">
        <v>28</v>
      </c>
      <c r="Q8" s="160" t="s">
        <v>28</v>
      </c>
      <c r="R8" s="160" t="s">
        <v>28</v>
      </c>
      <c r="S8" s="160" t="s">
        <v>28</v>
      </c>
      <c r="T8" s="160" t="s">
        <v>28</v>
      </c>
      <c r="U8" s="160" t="s">
        <v>28</v>
      </c>
      <c r="V8" s="163" t="s">
        <v>29</v>
      </c>
      <c r="W8" s="163" t="s">
        <v>29</v>
      </c>
      <c r="X8" s="163" t="s">
        <v>29</v>
      </c>
      <c r="Y8" s="163" t="s">
        <v>29</v>
      </c>
      <c r="Z8" s="163" t="s">
        <v>29</v>
      </c>
      <c r="AA8" s="163" t="s">
        <v>29</v>
      </c>
      <c r="AB8" s="161"/>
      <c r="AC8" s="161"/>
      <c r="AD8" s="162"/>
      <c r="AE8" s="160" t="s">
        <v>28</v>
      </c>
      <c r="AF8" s="160" t="s">
        <v>28</v>
      </c>
      <c r="AG8" s="160" t="s">
        <v>28</v>
      </c>
      <c r="AH8" s="160" t="s">
        <v>28</v>
      </c>
      <c r="AI8" s="160" t="s">
        <v>28</v>
      </c>
      <c r="AJ8" s="160" t="s">
        <v>28</v>
      </c>
      <c r="AK8" s="163" t="s">
        <v>29</v>
      </c>
      <c r="AL8" s="163" t="s">
        <v>29</v>
      </c>
      <c r="AM8" s="163" t="s">
        <v>29</v>
      </c>
      <c r="AN8" s="163"/>
      <c r="AO8" s="16">
        <f>COUNTIF(Tabla1[[#This Row],[1L]:[Columna1]],"D12")</f>
        <v>12</v>
      </c>
      <c r="AP8" s="17">
        <f>COUNTIF(Tabla1[[#This Row],[1L]:[Columna1]],"N12")</f>
        <v>12</v>
      </c>
      <c r="AQ8" s="18">
        <f>COUNTBLANK(Tabla1[[#This Row],[1L]:[Columna1]])</f>
        <v>7</v>
      </c>
      <c r="AR8" s="276">
        <v>0.20833333333333334</v>
      </c>
      <c r="AS8" s="282"/>
      <c r="AT8" s="19"/>
      <c r="AU8" s="21">
        <v>0.70833333333333337</v>
      </c>
      <c r="AV8" s="22"/>
      <c r="AW8" s="4"/>
      <c r="AX8" s="4"/>
      <c r="AY8" s="4"/>
      <c r="AZ8" s="4"/>
    </row>
    <row r="9" spans="1:52" x14ac:dyDescent="0.25">
      <c r="F9" s="214">
        <v>98711080</v>
      </c>
      <c r="G9" s="224" t="s">
        <v>72</v>
      </c>
      <c r="H9" s="15">
        <v>2026</v>
      </c>
      <c r="I9" s="15" t="s">
        <v>163</v>
      </c>
      <c r="J9" s="166" t="s">
        <v>28</v>
      </c>
      <c r="K9" s="166" t="s">
        <v>28</v>
      </c>
      <c r="L9" s="166" t="s">
        <v>28</v>
      </c>
      <c r="M9" s="166" t="s">
        <v>28</v>
      </c>
      <c r="N9" s="166" t="s">
        <v>28</v>
      </c>
      <c r="O9" s="166" t="s">
        <v>28</v>
      </c>
      <c r="P9" s="166" t="s">
        <v>29</v>
      </c>
      <c r="Q9" s="166" t="s">
        <v>29</v>
      </c>
      <c r="R9" s="167" t="s">
        <v>29</v>
      </c>
      <c r="S9" s="167" t="s">
        <v>29</v>
      </c>
      <c r="T9" s="167" t="s">
        <v>29</v>
      </c>
      <c r="U9" s="167" t="s">
        <v>29</v>
      </c>
      <c r="V9" s="164"/>
      <c r="W9" s="164"/>
      <c r="X9" s="165"/>
      <c r="Y9" s="167" t="s">
        <v>28</v>
      </c>
      <c r="Z9" s="167" t="s">
        <v>28</v>
      </c>
      <c r="AA9" s="167" t="s">
        <v>28</v>
      </c>
      <c r="AB9" s="167" t="s">
        <v>28</v>
      </c>
      <c r="AC9" s="167" t="s">
        <v>28</v>
      </c>
      <c r="AD9" s="167" t="s">
        <v>28</v>
      </c>
      <c r="AE9" s="166" t="s">
        <v>29</v>
      </c>
      <c r="AF9" s="166" t="s">
        <v>29</v>
      </c>
      <c r="AG9" s="166" t="s">
        <v>29</v>
      </c>
      <c r="AH9" s="166" t="s">
        <v>29</v>
      </c>
      <c r="AI9" s="166" t="s">
        <v>29</v>
      </c>
      <c r="AJ9" s="166" t="s">
        <v>29</v>
      </c>
      <c r="AK9" s="164"/>
      <c r="AL9" s="164"/>
      <c r="AM9" s="165"/>
      <c r="AN9" s="166"/>
      <c r="AO9" s="17">
        <f>COUNTIF(Tabla1[[#This Row],[1L]:[Columna1]],"D12")</f>
        <v>12</v>
      </c>
      <c r="AP9" s="17">
        <f>COUNTIF(Tabla1[[#This Row],[1L]:[Columna1]],"N12")</f>
        <v>12</v>
      </c>
      <c r="AQ9" s="18">
        <f>COUNTBLANK(Tabla1[[#This Row],[1L]:[Columna1]])</f>
        <v>7</v>
      </c>
      <c r="AR9" s="19"/>
      <c r="AS9" s="22"/>
      <c r="AT9" s="19"/>
      <c r="AU9" s="23"/>
      <c r="AV9" s="22"/>
      <c r="AW9" s="4"/>
      <c r="AX9" s="4"/>
      <c r="AY9" s="4"/>
      <c r="AZ9" s="4"/>
    </row>
    <row r="10" spans="1:52" x14ac:dyDescent="0.25">
      <c r="F10" s="215">
        <v>1007316053</v>
      </c>
      <c r="G10" s="223" t="s">
        <v>35</v>
      </c>
      <c r="H10" s="15">
        <v>2026</v>
      </c>
      <c r="I10" s="15" t="s">
        <v>163</v>
      </c>
      <c r="J10" s="167" t="s">
        <v>29</v>
      </c>
      <c r="K10" s="167" t="s">
        <v>29</v>
      </c>
      <c r="L10" s="167" t="s">
        <v>29</v>
      </c>
      <c r="M10" s="167" t="s">
        <v>29</v>
      </c>
      <c r="N10" s="167" t="s">
        <v>29</v>
      </c>
      <c r="O10" s="167" t="s">
        <v>29</v>
      </c>
      <c r="P10" s="164"/>
      <c r="Q10" s="164"/>
      <c r="R10" s="165"/>
      <c r="S10" s="166" t="s">
        <v>28</v>
      </c>
      <c r="T10" s="166" t="s">
        <v>28</v>
      </c>
      <c r="U10" s="166" t="s">
        <v>28</v>
      </c>
      <c r="V10" s="166" t="s">
        <v>28</v>
      </c>
      <c r="W10" s="166" t="s">
        <v>28</v>
      </c>
      <c r="X10" s="166" t="s">
        <v>28</v>
      </c>
      <c r="Y10" s="166" t="s">
        <v>29</v>
      </c>
      <c r="Z10" s="166" t="s">
        <v>29</v>
      </c>
      <c r="AA10" s="166" t="s">
        <v>29</v>
      </c>
      <c r="AB10" s="166" t="s">
        <v>29</v>
      </c>
      <c r="AC10" s="166" t="s">
        <v>29</v>
      </c>
      <c r="AD10" s="166" t="s">
        <v>29</v>
      </c>
      <c r="AE10" s="164"/>
      <c r="AF10" s="164"/>
      <c r="AG10" s="165"/>
      <c r="AH10" s="167" t="s">
        <v>28</v>
      </c>
      <c r="AI10" s="167" t="s">
        <v>28</v>
      </c>
      <c r="AJ10" s="166" t="s">
        <v>28</v>
      </c>
      <c r="AK10" s="166" t="s">
        <v>28</v>
      </c>
      <c r="AL10" s="166" t="s">
        <v>28</v>
      </c>
      <c r="AM10" s="166" t="s">
        <v>28</v>
      </c>
      <c r="AN10" s="166"/>
      <c r="AO10" s="17">
        <f>COUNTIF(Tabla1[[#This Row],[1L]:[Columna1]],"D12")</f>
        <v>12</v>
      </c>
      <c r="AP10" s="17">
        <f>COUNTIF(Tabla1[[#This Row],[1L]:[Columna1]],"N12")</f>
        <v>12</v>
      </c>
      <c r="AQ10" s="18">
        <f>COUNTBLANK(Tabla1[[#This Row],[1L]:[Columna1]])</f>
        <v>7</v>
      </c>
      <c r="AR10" s="276"/>
      <c r="AS10" s="278"/>
      <c r="AT10" s="276"/>
      <c r="AU10" s="277"/>
      <c r="AV10" s="278"/>
      <c r="AW10" s="4"/>
      <c r="AX10" s="4"/>
      <c r="AY10" s="4"/>
      <c r="AZ10" s="4"/>
    </row>
    <row r="11" spans="1:52" x14ac:dyDescent="0.25">
      <c r="F11" s="126">
        <v>70142991</v>
      </c>
      <c r="G11" s="204" t="s">
        <v>33</v>
      </c>
      <c r="H11" s="15">
        <v>2026</v>
      </c>
      <c r="I11" s="15" t="s">
        <v>163</v>
      </c>
      <c r="J11" s="167" t="s">
        <v>28</v>
      </c>
      <c r="K11" s="167" t="s">
        <v>28</v>
      </c>
      <c r="L11" s="167" t="s">
        <v>28</v>
      </c>
      <c r="M11" s="167" t="s">
        <v>29</v>
      </c>
      <c r="N11" s="167" t="s">
        <v>29</v>
      </c>
      <c r="O11" s="167" t="s">
        <v>29</v>
      </c>
      <c r="P11" s="167" t="s">
        <v>29</v>
      </c>
      <c r="Q11" s="167" t="s">
        <v>29</v>
      </c>
      <c r="R11" s="167" t="s">
        <v>29</v>
      </c>
      <c r="S11" s="164"/>
      <c r="T11" s="164"/>
      <c r="U11" s="165"/>
      <c r="V11" s="167" t="s">
        <v>28</v>
      </c>
      <c r="W11" s="167" t="s">
        <v>28</v>
      </c>
      <c r="X11" s="167" t="s">
        <v>28</v>
      </c>
      <c r="Y11" s="167" t="s">
        <v>28</v>
      </c>
      <c r="Z11" s="167" t="s">
        <v>28</v>
      </c>
      <c r="AA11" s="167" t="s">
        <v>28</v>
      </c>
      <c r="AB11" s="166" t="s">
        <v>28</v>
      </c>
      <c r="AC11" s="166" t="s">
        <v>28</v>
      </c>
      <c r="AD11" s="166" t="s">
        <v>28</v>
      </c>
      <c r="AE11" s="166" t="s">
        <v>28</v>
      </c>
      <c r="AF11" s="166" t="s">
        <v>28</v>
      </c>
      <c r="AG11" s="166" t="s">
        <v>28</v>
      </c>
      <c r="AH11" s="166" t="s">
        <v>29</v>
      </c>
      <c r="AI11" s="166" t="s">
        <v>29</v>
      </c>
      <c r="AJ11" s="166" t="s">
        <v>29</v>
      </c>
      <c r="AK11" s="166" t="s">
        <v>29</v>
      </c>
      <c r="AL11" s="166" t="s">
        <v>29</v>
      </c>
      <c r="AM11" s="166" t="s">
        <v>29</v>
      </c>
      <c r="AN11" s="166"/>
      <c r="AO11" s="17">
        <f>COUNTIF(Tabla1[[#This Row],[1L]:[Columna1]],"D12")</f>
        <v>15</v>
      </c>
      <c r="AP11" s="17">
        <f>COUNTIF(Tabla1[[#This Row],[1L]:[Columna1]],"N12")</f>
        <v>12</v>
      </c>
      <c r="AQ11" s="27">
        <f>COUNTBLANK(Tabla1[[#This Row],[1L]:[Columna1]])</f>
        <v>4</v>
      </c>
      <c r="AR11" s="28"/>
      <c r="AS11" s="29"/>
      <c r="AT11" s="28"/>
      <c r="AU11" s="29"/>
      <c r="AV11" s="29"/>
      <c r="AW11" s="4"/>
      <c r="AX11" s="4"/>
      <c r="AY11" s="4"/>
      <c r="AZ11" s="4"/>
    </row>
    <row r="12" spans="1:52" x14ac:dyDescent="0.25">
      <c r="E12" s="115"/>
      <c r="F12" s="205"/>
      <c r="G12" s="204"/>
      <c r="H12" s="15">
        <v>2026</v>
      </c>
      <c r="I12" s="15" t="s">
        <v>163</v>
      </c>
      <c r="J12" s="242" t="s">
        <v>32</v>
      </c>
      <c r="K12" s="167" t="s">
        <v>28</v>
      </c>
      <c r="L12" s="167" t="s">
        <v>28</v>
      </c>
      <c r="M12" s="167" t="s">
        <v>29</v>
      </c>
      <c r="N12" s="167" t="s">
        <v>29</v>
      </c>
      <c r="O12" s="167" t="s">
        <v>29</v>
      </c>
      <c r="P12" s="167" t="s">
        <v>29</v>
      </c>
      <c r="Q12" s="167" t="s">
        <v>29</v>
      </c>
      <c r="R12" s="167" t="s">
        <v>29</v>
      </c>
      <c r="S12" s="164"/>
      <c r="T12" s="164"/>
      <c r="U12" s="165"/>
      <c r="V12" s="167" t="s">
        <v>28</v>
      </c>
      <c r="W12" s="167" t="s">
        <v>28</v>
      </c>
      <c r="X12" s="167" t="s">
        <v>28</v>
      </c>
      <c r="Y12" s="167" t="s">
        <v>28</v>
      </c>
      <c r="Z12" s="167" t="s">
        <v>28</v>
      </c>
      <c r="AA12" s="167" t="s">
        <v>28</v>
      </c>
      <c r="AB12" s="167" t="s">
        <v>29</v>
      </c>
      <c r="AC12" s="167" t="s">
        <v>29</v>
      </c>
      <c r="AD12" s="167" t="s">
        <v>29</v>
      </c>
      <c r="AE12" s="167" t="s">
        <v>29</v>
      </c>
      <c r="AF12" s="167" t="s">
        <v>29</v>
      </c>
      <c r="AG12" s="167" t="s">
        <v>29</v>
      </c>
      <c r="AH12" s="164"/>
      <c r="AI12" s="164"/>
      <c r="AJ12" s="165"/>
      <c r="AK12" s="167" t="s">
        <v>28</v>
      </c>
      <c r="AL12" s="167" t="s">
        <v>28</v>
      </c>
      <c r="AM12" s="167" t="s">
        <v>28</v>
      </c>
      <c r="AN12" s="250"/>
      <c r="AO12" s="17">
        <f>COUNTIF(Tabla1[[#This Row],[1L]:[Columna1]],"D12")</f>
        <v>11</v>
      </c>
      <c r="AP12" s="17">
        <f>COUNTIF(Tabla1[[#This Row],[1L]:[Columna1]],"N12")</f>
        <v>12</v>
      </c>
      <c r="AQ12" s="27">
        <f>COUNTBLANK(Tabla1[[#This Row],[1L]:[Columna1]])</f>
        <v>7</v>
      </c>
      <c r="AR12" s="28"/>
      <c r="AS12" s="29"/>
      <c r="AT12" s="28"/>
      <c r="AU12" s="29"/>
      <c r="AV12" s="29"/>
      <c r="AW12" s="4"/>
      <c r="AX12" s="4"/>
      <c r="AY12" s="4"/>
      <c r="AZ12" s="4"/>
    </row>
    <row r="13" spans="1:52" x14ac:dyDescent="0.25">
      <c r="E13" s="115"/>
      <c r="F13" s="205">
        <v>1003141973</v>
      </c>
      <c r="G13" s="209" t="s">
        <v>30</v>
      </c>
      <c r="H13" s="15">
        <v>2026</v>
      </c>
      <c r="I13" s="15" t="s">
        <v>163</v>
      </c>
      <c r="J13" s="164"/>
      <c r="K13" s="164"/>
      <c r="L13" s="165"/>
      <c r="M13" s="166" t="s">
        <v>28</v>
      </c>
      <c r="N13" s="166" t="s">
        <v>28</v>
      </c>
      <c r="O13" s="166" t="s">
        <v>28</v>
      </c>
      <c r="P13" s="166" t="s">
        <v>28</v>
      </c>
      <c r="Q13" s="166" t="s">
        <v>28</v>
      </c>
      <c r="R13" s="166" t="s">
        <v>28</v>
      </c>
      <c r="S13" s="166" t="s">
        <v>29</v>
      </c>
      <c r="T13" s="166" t="s">
        <v>29</v>
      </c>
      <c r="U13" s="166" t="s">
        <v>29</v>
      </c>
      <c r="V13" s="166" t="s">
        <v>29</v>
      </c>
      <c r="W13" s="166" t="s">
        <v>29</v>
      </c>
      <c r="X13" s="166" t="s">
        <v>29</v>
      </c>
      <c r="Y13" s="164"/>
      <c r="Z13" s="164"/>
      <c r="AA13" s="165"/>
      <c r="AB13" s="166" t="s">
        <v>28</v>
      </c>
      <c r="AC13" s="166" t="s">
        <v>28</v>
      </c>
      <c r="AD13" s="166" t="s">
        <v>28</v>
      </c>
      <c r="AE13" s="166" t="s">
        <v>28</v>
      </c>
      <c r="AF13" s="166" t="s">
        <v>28</v>
      </c>
      <c r="AG13" s="166" t="s">
        <v>28</v>
      </c>
      <c r="AH13" s="166" t="s">
        <v>29</v>
      </c>
      <c r="AI13" s="166" t="s">
        <v>29</v>
      </c>
      <c r="AJ13" s="166" t="s">
        <v>29</v>
      </c>
      <c r="AK13" s="166" t="s">
        <v>29</v>
      </c>
      <c r="AL13" s="166" t="s">
        <v>29</v>
      </c>
      <c r="AM13" s="166" t="s">
        <v>29</v>
      </c>
      <c r="AN13" s="166"/>
      <c r="AO13" s="17">
        <f>COUNTIF(Tabla1[[#This Row],[1L]:[Columna1]],"D12")</f>
        <v>12</v>
      </c>
      <c r="AP13" s="17">
        <f>COUNTIF(Tabla1[[#This Row],[1L]:[Columna1]],"N12")</f>
        <v>12</v>
      </c>
      <c r="AQ13" s="27">
        <f>COUNTBLANK(Tabla1[[#This Row],[1L]:[Columna1]])</f>
        <v>7</v>
      </c>
      <c r="AR13" s="28"/>
      <c r="AS13" s="29"/>
      <c r="AT13" s="28"/>
      <c r="AU13" s="29"/>
      <c r="AV13" s="29"/>
      <c r="AW13" s="4"/>
      <c r="AX13" s="4"/>
      <c r="AY13" s="4"/>
      <c r="AZ13" s="4"/>
    </row>
    <row r="14" spans="1:52" s="4" customFormat="1" x14ac:dyDescent="0.25">
      <c r="A14"/>
      <c r="B14"/>
      <c r="C14"/>
      <c r="D14"/>
      <c r="E14"/>
      <c r="F14" s="236">
        <v>71185910</v>
      </c>
      <c r="G14" s="236" t="s">
        <v>82</v>
      </c>
      <c r="H14" s="15">
        <v>2026</v>
      </c>
      <c r="I14" s="15" t="s">
        <v>163</v>
      </c>
      <c r="J14" s="167" t="s">
        <v>28</v>
      </c>
      <c r="K14" s="167" t="s">
        <v>31</v>
      </c>
      <c r="L14" s="167" t="s">
        <v>31</v>
      </c>
      <c r="M14" s="167" t="s">
        <v>31</v>
      </c>
      <c r="N14" s="167" t="s">
        <v>31</v>
      </c>
      <c r="O14" s="167" t="s">
        <v>31</v>
      </c>
      <c r="P14" s="167" t="s">
        <v>31</v>
      </c>
      <c r="Q14" s="167" t="s">
        <v>31</v>
      </c>
      <c r="R14" s="167" t="s">
        <v>31</v>
      </c>
      <c r="S14" s="167" t="s">
        <v>31</v>
      </c>
      <c r="T14" s="167" t="s">
        <v>31</v>
      </c>
      <c r="U14" s="167" t="s">
        <v>31</v>
      </c>
      <c r="V14" s="167" t="s">
        <v>31</v>
      </c>
      <c r="W14" s="164"/>
      <c r="X14" s="164"/>
      <c r="Y14" s="167" t="s">
        <v>31</v>
      </c>
      <c r="Z14" s="167" t="s">
        <v>31</v>
      </c>
      <c r="AA14" s="167" t="s">
        <v>31</v>
      </c>
      <c r="AB14" s="167" t="s">
        <v>31</v>
      </c>
      <c r="AC14" s="167" t="s">
        <v>31</v>
      </c>
      <c r="AD14" s="164"/>
      <c r="AE14" s="167" t="s">
        <v>31</v>
      </c>
      <c r="AF14" s="167" t="s">
        <v>31</v>
      </c>
      <c r="AG14" s="167" t="s">
        <v>31</v>
      </c>
      <c r="AH14" s="167" t="s">
        <v>31</v>
      </c>
      <c r="AI14" s="167" t="s">
        <v>31</v>
      </c>
      <c r="AJ14" s="167" t="s">
        <v>31</v>
      </c>
      <c r="AK14" s="164"/>
      <c r="AL14" s="167" t="s">
        <v>31</v>
      </c>
      <c r="AM14" s="167" t="s">
        <v>31</v>
      </c>
      <c r="AN14" s="167"/>
      <c r="AO14" s="17">
        <f>COUNTIF(Tabla1[[#This Row],[1L]:[Columna1]],"D12")</f>
        <v>1</v>
      </c>
      <c r="AP14" s="17">
        <f>COUNTIF(Tabla1[[#This Row],[1L]:[Columna1]],"N12")</f>
        <v>0</v>
      </c>
      <c r="AQ14" s="27">
        <f>COUNTBLANK(Tabla1[[#This Row],[1L]:[Columna1]])</f>
        <v>5</v>
      </c>
    </row>
    <row r="15" spans="1:52" s="4" customFormat="1" x14ac:dyDescent="0.25">
      <c r="A15"/>
      <c r="B15"/>
      <c r="C15"/>
      <c r="D15"/>
      <c r="E15" s="115"/>
      <c r="F15" s="205"/>
      <c r="G15" s="210"/>
      <c r="H15" s="15">
        <v>2026</v>
      </c>
      <c r="I15" s="15" t="s">
        <v>163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18"/>
      <c r="AO15" s="17">
        <f>COUNTIF(Tabla1[[#This Row],[1L]:[Columna1]],"D12")</f>
        <v>0</v>
      </c>
      <c r="AP15" s="17">
        <f>COUNTIF(Tabla1[[#This Row],[1L]:[Columna1]],"N12")</f>
        <v>0</v>
      </c>
      <c r="AQ15" s="27">
        <f>COUNTBLANK(Tabla1[[#This Row],[1L]:[Columna1]])</f>
        <v>31</v>
      </c>
    </row>
    <row r="16" spans="1:52" ht="18.75" x14ac:dyDescent="0.25">
      <c r="F16" s="202"/>
      <c r="G16" s="39"/>
      <c r="H16" s="15">
        <v>2026</v>
      </c>
      <c r="I16" s="15" t="s">
        <v>163</v>
      </c>
      <c r="J16" s="150">
        <f t="shared" ref="J16:AN16" si="0">COUNTIF(J8:J14,"D12")</f>
        <v>3</v>
      </c>
      <c r="K16" s="150">
        <f t="shared" si="0"/>
        <v>3</v>
      </c>
      <c r="L16" s="150">
        <f t="shared" si="0"/>
        <v>3</v>
      </c>
      <c r="M16" s="150">
        <f t="shared" si="0"/>
        <v>2</v>
      </c>
      <c r="N16" s="150">
        <f t="shared" si="0"/>
        <v>2</v>
      </c>
      <c r="O16" s="150">
        <f t="shared" si="0"/>
        <v>2</v>
      </c>
      <c r="P16" s="150">
        <f t="shared" si="0"/>
        <v>2</v>
      </c>
      <c r="Q16" s="150">
        <f t="shared" si="0"/>
        <v>2</v>
      </c>
      <c r="R16" s="150">
        <f t="shared" si="0"/>
        <v>2</v>
      </c>
      <c r="S16" s="150">
        <f t="shared" si="0"/>
        <v>2</v>
      </c>
      <c r="T16" s="150">
        <f t="shared" si="0"/>
        <v>2</v>
      </c>
      <c r="U16" s="150">
        <f t="shared" si="0"/>
        <v>2</v>
      </c>
      <c r="V16" s="150">
        <f t="shared" si="0"/>
        <v>3</v>
      </c>
      <c r="W16" s="150">
        <f t="shared" si="0"/>
        <v>3</v>
      </c>
      <c r="X16" s="150">
        <f t="shared" si="0"/>
        <v>3</v>
      </c>
      <c r="Y16" s="150">
        <f t="shared" si="0"/>
        <v>3</v>
      </c>
      <c r="Z16" s="150">
        <f t="shared" si="0"/>
        <v>3</v>
      </c>
      <c r="AA16" s="150">
        <f t="shared" si="0"/>
        <v>3</v>
      </c>
      <c r="AB16" s="150">
        <f t="shared" si="0"/>
        <v>3</v>
      </c>
      <c r="AC16" s="150">
        <f t="shared" si="0"/>
        <v>3</v>
      </c>
      <c r="AD16" s="150">
        <f t="shared" si="0"/>
        <v>3</v>
      </c>
      <c r="AE16" s="150">
        <f t="shared" si="0"/>
        <v>3</v>
      </c>
      <c r="AF16" s="150">
        <f t="shared" si="0"/>
        <v>3</v>
      </c>
      <c r="AG16" s="150">
        <f t="shared" si="0"/>
        <v>3</v>
      </c>
      <c r="AH16" s="150">
        <f t="shared" si="0"/>
        <v>2</v>
      </c>
      <c r="AI16" s="150">
        <f t="shared" si="0"/>
        <v>2</v>
      </c>
      <c r="AJ16" s="150">
        <f t="shared" si="0"/>
        <v>2</v>
      </c>
      <c r="AK16" s="150">
        <f t="shared" si="0"/>
        <v>2</v>
      </c>
      <c r="AL16" s="150">
        <f t="shared" si="0"/>
        <v>2</v>
      </c>
      <c r="AM16" s="150">
        <f t="shared" si="0"/>
        <v>2</v>
      </c>
      <c r="AN16" s="150">
        <f t="shared" si="0"/>
        <v>0</v>
      </c>
      <c r="AO16" s="33"/>
      <c r="AP16" s="33"/>
      <c r="AQ16" s="3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8.75" x14ac:dyDescent="0.25">
      <c r="F17" s="222"/>
      <c r="G17" s="36"/>
      <c r="H17" s="15">
        <v>2026</v>
      </c>
      <c r="I17" s="15" t="s">
        <v>163</v>
      </c>
      <c r="J17" s="151">
        <f t="shared" ref="J17:AN17" si="1">COUNTIF(J8:J14,"N12")</f>
        <v>2</v>
      </c>
      <c r="K17" s="151">
        <f t="shared" si="1"/>
        <v>2</v>
      </c>
      <c r="L17" s="151">
        <f t="shared" si="1"/>
        <v>2</v>
      </c>
      <c r="M17" s="151">
        <f t="shared" si="1"/>
        <v>3</v>
      </c>
      <c r="N17" s="151">
        <f t="shared" si="1"/>
        <v>3</v>
      </c>
      <c r="O17" s="151">
        <f t="shared" si="1"/>
        <v>3</v>
      </c>
      <c r="P17" s="151">
        <f t="shared" si="1"/>
        <v>3</v>
      </c>
      <c r="Q17" s="151">
        <f t="shared" si="1"/>
        <v>3</v>
      </c>
      <c r="R17" s="151">
        <f t="shared" si="1"/>
        <v>3</v>
      </c>
      <c r="S17" s="151">
        <f t="shared" si="1"/>
        <v>2</v>
      </c>
      <c r="T17" s="151">
        <f t="shared" si="1"/>
        <v>2</v>
      </c>
      <c r="U17" s="151">
        <f t="shared" si="1"/>
        <v>2</v>
      </c>
      <c r="V17" s="151">
        <f t="shared" si="1"/>
        <v>2</v>
      </c>
      <c r="W17" s="151">
        <f t="shared" si="1"/>
        <v>2</v>
      </c>
      <c r="X17" s="151">
        <f t="shared" si="1"/>
        <v>2</v>
      </c>
      <c r="Y17" s="151">
        <f t="shared" si="1"/>
        <v>2</v>
      </c>
      <c r="Z17" s="151">
        <f t="shared" si="1"/>
        <v>2</v>
      </c>
      <c r="AA17" s="151">
        <f t="shared" si="1"/>
        <v>2</v>
      </c>
      <c r="AB17" s="151">
        <f t="shared" si="1"/>
        <v>2</v>
      </c>
      <c r="AC17" s="151">
        <f t="shared" si="1"/>
        <v>2</v>
      </c>
      <c r="AD17" s="151">
        <f t="shared" si="1"/>
        <v>2</v>
      </c>
      <c r="AE17" s="151">
        <f t="shared" si="1"/>
        <v>2</v>
      </c>
      <c r="AF17" s="151">
        <f t="shared" si="1"/>
        <v>2</v>
      </c>
      <c r="AG17" s="151">
        <f t="shared" si="1"/>
        <v>2</v>
      </c>
      <c r="AH17" s="151">
        <f t="shared" si="1"/>
        <v>3</v>
      </c>
      <c r="AI17" s="151">
        <f t="shared" si="1"/>
        <v>3</v>
      </c>
      <c r="AJ17" s="151">
        <f t="shared" si="1"/>
        <v>3</v>
      </c>
      <c r="AK17" s="151">
        <f t="shared" si="1"/>
        <v>3</v>
      </c>
      <c r="AL17" s="151">
        <f t="shared" si="1"/>
        <v>3</v>
      </c>
      <c r="AM17" s="151">
        <f t="shared" si="1"/>
        <v>3</v>
      </c>
      <c r="AN17" s="151">
        <f t="shared" si="1"/>
        <v>0</v>
      </c>
      <c r="AO17" s="38"/>
      <c r="AP17" s="38"/>
      <c r="AQ17" s="34"/>
      <c r="AR17" s="4"/>
      <c r="AS17" s="4"/>
      <c r="AT17" s="4"/>
      <c r="AU17" s="4"/>
      <c r="AV17" s="4"/>
      <c r="AW17" s="4"/>
      <c r="AX17" s="4"/>
      <c r="AY17" s="4"/>
      <c r="AZ17" s="4"/>
    </row>
    <row r="18" spans="1:52" s="1" customFormat="1" x14ac:dyDescent="0.25">
      <c r="A18" s="36"/>
      <c r="B18" s="36"/>
      <c r="C18" s="36"/>
      <c r="D18" s="36"/>
      <c r="E18" s="36"/>
      <c r="F18" s="35"/>
      <c r="G18" s="39"/>
      <c r="H18" s="100"/>
      <c r="I18" s="10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8"/>
      <c r="AP18" s="38"/>
      <c r="AQ18" s="38"/>
      <c r="AR18" s="39"/>
      <c r="AS18" s="39"/>
      <c r="AT18" s="39"/>
      <c r="AU18" s="39"/>
      <c r="AV18" s="39"/>
      <c r="AW18" s="39"/>
      <c r="AX18" s="39"/>
      <c r="AY18" s="39"/>
      <c r="AZ18" s="39"/>
    </row>
    <row r="19" spans="1:52" s="1" customFormat="1" x14ac:dyDescent="0.25">
      <c r="H19" s="301" t="s">
        <v>36</v>
      </c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3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</row>
    <row r="20" spans="1:52" s="1" customFormat="1" x14ac:dyDescent="0.25">
      <c r="H20" s="304" t="s">
        <v>37</v>
      </c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6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</row>
    <row r="21" spans="1:52" s="1" customFormat="1" x14ac:dyDescent="0.25">
      <c r="H21" s="304" t="s">
        <v>38</v>
      </c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6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</row>
    <row r="22" spans="1:52" s="1" customFormat="1" x14ac:dyDescent="0.25"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s="41" customFormat="1" x14ac:dyDescent="0.25">
      <c r="H23" s="42"/>
      <c r="I23" s="346" t="s">
        <v>39</v>
      </c>
      <c r="J23" s="347"/>
      <c r="K23" s="347"/>
      <c r="L23" s="348"/>
      <c r="M23" s="43"/>
      <c r="N23" s="346" t="s">
        <v>40</v>
      </c>
      <c r="O23" s="347"/>
      <c r="P23" s="347"/>
      <c r="Q23" s="347"/>
      <c r="R23" s="348"/>
      <c r="S23" s="300" t="s">
        <v>13</v>
      </c>
      <c r="T23" s="300"/>
      <c r="U23" s="300" t="s">
        <v>14</v>
      </c>
      <c r="V23" s="300"/>
      <c r="W23" s="300"/>
      <c r="X23" s="1"/>
      <c r="Y23" s="1"/>
      <c r="Z23" s="1"/>
      <c r="AA23" s="1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</row>
    <row r="24" spans="1:52" s="1" customFormat="1" x14ac:dyDescent="0.25">
      <c r="H24" s="46" t="s">
        <v>32</v>
      </c>
      <c r="I24" s="279" t="s">
        <v>41</v>
      </c>
      <c r="J24" s="280"/>
      <c r="K24" s="280"/>
      <c r="L24" s="281"/>
      <c r="M24" s="47" t="s">
        <v>42</v>
      </c>
      <c r="N24" s="279" t="s">
        <v>43</v>
      </c>
      <c r="O24" s="280"/>
      <c r="P24" s="280"/>
      <c r="Q24" s="280"/>
      <c r="R24" s="281"/>
      <c r="S24" s="276">
        <v>0.70833333333333337</v>
      </c>
      <c r="T24" s="282"/>
      <c r="U24" s="19"/>
      <c r="V24" s="21">
        <v>0.20833333333333334</v>
      </c>
      <c r="W24" s="22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</row>
    <row r="25" spans="1:52" s="1" customFormat="1" x14ac:dyDescent="0.25">
      <c r="H25" s="48" t="s">
        <v>44</v>
      </c>
      <c r="I25" s="279" t="s">
        <v>45</v>
      </c>
      <c r="J25" s="280"/>
      <c r="K25" s="280"/>
      <c r="L25" s="281"/>
      <c r="M25" s="49" t="s">
        <v>46</v>
      </c>
      <c r="N25" s="279" t="s">
        <v>47</v>
      </c>
      <c r="O25" s="280"/>
      <c r="P25" s="280"/>
      <c r="Q25" s="280"/>
      <c r="R25" s="281"/>
      <c r="S25" s="276">
        <v>0.20833333333333334</v>
      </c>
      <c r="T25" s="282"/>
      <c r="U25" s="19"/>
      <c r="V25" s="21">
        <v>0.70833333333333337</v>
      </c>
      <c r="W25" s="22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</row>
    <row r="26" spans="1:52" s="1" customFormat="1" x14ac:dyDescent="0.25">
      <c r="H26" s="1" t="s">
        <v>48</v>
      </c>
      <c r="I26" s="279" t="s">
        <v>49</v>
      </c>
      <c r="J26" s="280"/>
      <c r="K26" s="280"/>
      <c r="L26" s="281"/>
      <c r="M26" s="39" t="s">
        <v>50</v>
      </c>
      <c r="N26" s="279" t="s">
        <v>51</v>
      </c>
      <c r="O26" s="280"/>
      <c r="P26" s="280"/>
      <c r="Q26" s="280"/>
      <c r="R26" s="281"/>
      <c r="S26" s="19"/>
      <c r="T26" s="22"/>
      <c r="U26" s="19"/>
      <c r="V26" s="23"/>
      <c r="W26" s="22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</row>
    <row r="27" spans="1:52" s="1" customFormat="1" x14ac:dyDescent="0.25">
      <c r="H27" s="1" t="s">
        <v>29</v>
      </c>
      <c r="I27" s="279" t="s">
        <v>52</v>
      </c>
      <c r="J27" s="280"/>
      <c r="K27" s="280"/>
      <c r="L27" s="281"/>
      <c r="M27" s="1" t="s">
        <v>53</v>
      </c>
      <c r="N27" s="279" t="s">
        <v>54</v>
      </c>
      <c r="O27" s="280"/>
      <c r="P27" s="280"/>
      <c r="Q27" s="280"/>
      <c r="R27" s="281"/>
      <c r="S27" s="276"/>
      <c r="T27" s="278"/>
      <c r="U27" s="276"/>
      <c r="V27" s="277"/>
      <c r="W27" s="278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</row>
    <row r="28" spans="1:52" s="1" customFormat="1" x14ac:dyDescent="0.25">
      <c r="H28" s="1" t="s">
        <v>28</v>
      </c>
      <c r="I28" s="279" t="s">
        <v>55</v>
      </c>
      <c r="J28" s="280"/>
      <c r="K28" s="280"/>
      <c r="L28" s="281"/>
      <c r="M28" s="1" t="s">
        <v>31</v>
      </c>
      <c r="N28" s="279" t="s">
        <v>56</v>
      </c>
      <c r="O28" s="280"/>
      <c r="P28" s="280"/>
      <c r="Q28" s="280"/>
      <c r="R28" s="281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</row>
    <row r="29" spans="1:52" s="1" customFormat="1" x14ac:dyDescent="0.25">
      <c r="I29" s="135"/>
      <c r="J29" s="136"/>
      <c r="K29" s="136"/>
      <c r="L29" s="137"/>
      <c r="N29" s="135"/>
      <c r="O29" s="136"/>
      <c r="P29" s="136"/>
      <c r="Q29" s="136"/>
      <c r="R29" s="137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s="1" customFormat="1" x14ac:dyDescent="0.25">
      <c r="I30" s="135"/>
      <c r="J30" s="136"/>
      <c r="K30" s="136"/>
      <c r="L30" s="137"/>
      <c r="N30" s="135"/>
      <c r="O30" s="136"/>
      <c r="P30" s="136"/>
      <c r="Q30" s="136"/>
      <c r="R30" s="137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s="1" customFormat="1" x14ac:dyDescent="0.25">
      <c r="I31" s="135"/>
      <c r="J31" s="136"/>
      <c r="K31" s="136"/>
      <c r="L31" s="137"/>
      <c r="N31" s="135"/>
      <c r="O31" s="136"/>
      <c r="P31" s="136"/>
      <c r="Q31" s="136"/>
      <c r="R31" s="137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</row>
    <row r="32" spans="1:52" s="1" customFormat="1" x14ac:dyDescent="0.25"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</row>
    <row r="33" spans="1:49" ht="15" customHeight="1" x14ac:dyDescent="0.25">
      <c r="C33" s="1"/>
      <c r="D33" s="1"/>
      <c r="E33" s="1"/>
      <c r="F33" s="349" t="s">
        <v>57</v>
      </c>
      <c r="G33" s="349"/>
      <c r="H33" s="309" t="s">
        <v>1</v>
      </c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  <c r="AC33" s="310"/>
      <c r="AD33" s="310"/>
      <c r="AE33" s="310"/>
      <c r="AF33" s="310"/>
      <c r="AG33" s="310"/>
      <c r="AH33" s="311"/>
      <c r="AI33" s="289" t="s">
        <v>2</v>
      </c>
      <c r="AJ33" s="289"/>
      <c r="AK33" s="289"/>
      <c r="AL33" s="289"/>
      <c r="AM33" s="289"/>
      <c r="AN33" s="289"/>
      <c r="AO33" s="3"/>
      <c r="AP33" s="3"/>
      <c r="AQ33" s="3"/>
      <c r="AR33" s="4"/>
      <c r="AS33" s="4"/>
      <c r="AT33" s="4"/>
      <c r="AU33" s="4"/>
      <c r="AV33" s="4"/>
      <c r="AW33" s="4"/>
    </row>
    <row r="34" spans="1:49" ht="15" customHeight="1" x14ac:dyDescent="0.25">
      <c r="C34" s="1"/>
      <c r="D34" s="1"/>
      <c r="E34" s="1"/>
      <c r="F34" s="349"/>
      <c r="G34" s="349"/>
      <c r="H34" s="343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5"/>
      <c r="AI34" s="289"/>
      <c r="AJ34" s="289"/>
      <c r="AK34" s="289"/>
      <c r="AL34" s="289"/>
      <c r="AM34" s="289"/>
      <c r="AN34" s="289"/>
      <c r="AO34" s="3"/>
      <c r="AP34" s="3"/>
      <c r="AQ34" s="3"/>
      <c r="AR34" s="4"/>
      <c r="AS34" s="4"/>
      <c r="AT34" s="4"/>
      <c r="AU34" s="4"/>
      <c r="AV34" s="4"/>
      <c r="AW34" s="4"/>
    </row>
    <row r="35" spans="1:49" ht="15" customHeight="1" x14ac:dyDescent="0.25">
      <c r="C35" s="1"/>
      <c r="D35" s="1"/>
      <c r="E35" s="1"/>
      <c r="F35" s="349"/>
      <c r="G35" s="349"/>
      <c r="H35" s="307" t="s">
        <v>3</v>
      </c>
      <c r="I35" s="290"/>
      <c r="J35" s="290"/>
      <c r="K35" s="291" t="s">
        <v>4</v>
      </c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2"/>
      <c r="AI35" s="289" t="s">
        <v>5</v>
      </c>
      <c r="AJ35" s="289"/>
      <c r="AK35" s="289"/>
      <c r="AL35" s="289"/>
      <c r="AM35" s="289"/>
      <c r="AN35" s="289"/>
      <c r="AO35" s="3"/>
      <c r="AP35" s="3"/>
      <c r="AQ35" s="3"/>
      <c r="AR35" s="4"/>
      <c r="AS35" s="4"/>
      <c r="AT35" s="4"/>
      <c r="AU35" s="4"/>
      <c r="AV35" s="4"/>
      <c r="AW35" s="4"/>
    </row>
    <row r="36" spans="1:49" ht="15" customHeight="1" x14ac:dyDescent="0.25">
      <c r="C36" s="1"/>
      <c r="D36" s="1"/>
      <c r="E36" s="1"/>
      <c r="F36" s="349" t="s">
        <v>58</v>
      </c>
      <c r="G36" s="349"/>
      <c r="H36" s="5" t="s">
        <v>6</v>
      </c>
      <c r="I36" s="6"/>
      <c r="J36" s="6"/>
      <c r="K36" s="291" t="s">
        <v>7</v>
      </c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2"/>
      <c r="AI36" s="289"/>
      <c r="AJ36" s="289"/>
      <c r="AK36" s="289"/>
      <c r="AL36" s="289"/>
      <c r="AM36" s="289"/>
      <c r="AN36" s="289"/>
      <c r="AO36" s="3"/>
      <c r="AP36" s="3"/>
      <c r="AQ36" s="3"/>
      <c r="AR36" s="4"/>
      <c r="AS36" s="4"/>
      <c r="AT36" s="4"/>
      <c r="AU36" s="4"/>
      <c r="AV36" s="4"/>
      <c r="AW36" s="4"/>
    </row>
    <row r="37" spans="1:49" ht="15" customHeight="1" x14ac:dyDescent="0.25">
      <c r="C37" s="1"/>
      <c r="D37" s="1"/>
      <c r="E37" s="1"/>
      <c r="F37" s="349"/>
      <c r="G37" s="349"/>
      <c r="H37" s="307" t="s">
        <v>8</v>
      </c>
      <c r="I37" s="290"/>
      <c r="J37" s="290"/>
      <c r="K37" s="291" t="s">
        <v>9</v>
      </c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2"/>
      <c r="AI37" s="289" t="s">
        <v>10</v>
      </c>
      <c r="AJ37" s="289"/>
      <c r="AK37" s="289"/>
      <c r="AL37" s="289"/>
      <c r="AM37" s="289"/>
      <c r="AN37" s="289"/>
      <c r="AO37" s="3"/>
      <c r="AP37" s="3"/>
      <c r="AQ37" s="3"/>
      <c r="AR37" s="4"/>
      <c r="AS37" s="4"/>
      <c r="AT37" s="4"/>
      <c r="AU37" s="4"/>
      <c r="AV37" s="4"/>
      <c r="AW37" s="4"/>
    </row>
    <row r="38" spans="1:49" ht="15" customHeight="1" x14ac:dyDescent="0.25">
      <c r="C38" s="1"/>
      <c r="D38" s="1"/>
      <c r="E38" s="1"/>
      <c r="F38" s="349"/>
      <c r="G38" s="349"/>
      <c r="H38" s="308" t="s">
        <v>11</v>
      </c>
      <c r="I38" s="293"/>
      <c r="J38" s="293"/>
      <c r="K38" s="294" t="s">
        <v>12</v>
      </c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5"/>
      <c r="AI38" s="289"/>
      <c r="AJ38" s="289"/>
      <c r="AK38" s="289"/>
      <c r="AL38" s="289"/>
      <c r="AM38" s="289"/>
      <c r="AN38" s="289"/>
      <c r="AO38" s="2"/>
      <c r="AP38" s="2"/>
      <c r="AQ38" s="2"/>
      <c r="AR38" s="300" t="s">
        <v>13</v>
      </c>
      <c r="AS38" s="300"/>
      <c r="AT38" s="300" t="s">
        <v>14</v>
      </c>
      <c r="AU38" s="300"/>
      <c r="AV38" s="300"/>
      <c r="AW38" s="4"/>
    </row>
    <row r="39" spans="1:49" ht="18.75" x14ac:dyDescent="0.25">
      <c r="A39" s="7" t="s">
        <v>15</v>
      </c>
      <c r="B39" s="8" t="s">
        <v>16</v>
      </c>
      <c r="C39" s="9" t="s">
        <v>17</v>
      </c>
      <c r="D39" s="9" t="s">
        <v>18</v>
      </c>
      <c r="E39" s="9" t="s">
        <v>19</v>
      </c>
      <c r="F39" s="10" t="s">
        <v>20</v>
      </c>
      <c r="G39" s="7" t="s">
        <v>21</v>
      </c>
      <c r="H39" s="7" t="s">
        <v>22</v>
      </c>
      <c r="I39" s="7" t="s">
        <v>23</v>
      </c>
      <c r="J39" s="247" t="s">
        <v>132</v>
      </c>
      <c r="K39" s="247" t="s">
        <v>133</v>
      </c>
      <c r="L39" s="247" t="s">
        <v>134</v>
      </c>
      <c r="M39" s="247" t="s">
        <v>135</v>
      </c>
      <c r="N39" s="247" t="s">
        <v>136</v>
      </c>
      <c r="O39" s="247" t="s">
        <v>137</v>
      </c>
      <c r="P39" s="155" t="s">
        <v>138</v>
      </c>
      <c r="Q39" s="155" t="s">
        <v>139</v>
      </c>
      <c r="R39" s="247" t="s">
        <v>140</v>
      </c>
      <c r="S39" s="247" t="s">
        <v>141</v>
      </c>
      <c r="T39" s="247" t="s">
        <v>142</v>
      </c>
      <c r="U39" s="247" t="s">
        <v>143</v>
      </c>
      <c r="V39" s="247" t="s">
        <v>144</v>
      </c>
      <c r="W39" s="155" t="s">
        <v>145</v>
      </c>
      <c r="X39" s="155" t="s">
        <v>146</v>
      </c>
      <c r="Y39" s="247" t="s">
        <v>147</v>
      </c>
      <c r="Z39" s="247" t="s">
        <v>148</v>
      </c>
      <c r="AA39" s="247" t="s">
        <v>149</v>
      </c>
      <c r="AB39" s="247" t="s">
        <v>150</v>
      </c>
      <c r="AC39" s="247" t="s">
        <v>151</v>
      </c>
      <c r="AD39" s="155" t="s">
        <v>152</v>
      </c>
      <c r="AE39" s="247" t="s">
        <v>153</v>
      </c>
      <c r="AF39" s="247" t="s">
        <v>154</v>
      </c>
      <c r="AG39" s="247" t="s">
        <v>155</v>
      </c>
      <c r="AH39" s="248" t="s">
        <v>156</v>
      </c>
      <c r="AI39" s="247" t="s">
        <v>157</v>
      </c>
      <c r="AJ39" s="247" t="s">
        <v>158</v>
      </c>
      <c r="AK39" s="155" t="s">
        <v>159</v>
      </c>
      <c r="AL39" s="155" t="s">
        <v>160</v>
      </c>
      <c r="AM39" s="247" t="s">
        <v>161</v>
      </c>
      <c r="AN39" s="249" t="s">
        <v>162</v>
      </c>
      <c r="AO39" s="11" t="s">
        <v>24</v>
      </c>
      <c r="AP39" s="11" t="s">
        <v>25</v>
      </c>
      <c r="AQ39" s="11" t="s">
        <v>26</v>
      </c>
      <c r="AR39" s="340">
        <v>0.75</v>
      </c>
      <c r="AS39" s="341"/>
      <c r="AT39" s="340">
        <v>0.25</v>
      </c>
      <c r="AU39" s="342"/>
      <c r="AV39" s="341"/>
      <c r="AW39" s="9"/>
    </row>
    <row r="40" spans="1:49" x14ac:dyDescent="0.25">
      <c r="F40" s="205">
        <v>98534558</v>
      </c>
      <c r="G40" s="213" t="s">
        <v>59</v>
      </c>
      <c r="H40" s="15">
        <v>2026</v>
      </c>
      <c r="I40" s="15" t="s">
        <v>163</v>
      </c>
      <c r="J40" s="163" t="s">
        <v>29</v>
      </c>
      <c r="K40" s="163" t="s">
        <v>29</v>
      </c>
      <c r="L40" s="163" t="s">
        <v>29</v>
      </c>
      <c r="M40" s="163" t="s">
        <v>29</v>
      </c>
      <c r="N40" s="161"/>
      <c r="O40" s="161"/>
      <c r="P40" s="162"/>
      <c r="Q40" s="163" t="s">
        <v>28</v>
      </c>
      <c r="R40" s="163" t="s">
        <v>28</v>
      </c>
      <c r="S40" s="163" t="s">
        <v>28</v>
      </c>
      <c r="T40" s="163" t="s">
        <v>28</v>
      </c>
      <c r="U40" s="163" t="s">
        <v>28</v>
      </c>
      <c r="V40" s="163" t="s">
        <v>28</v>
      </c>
      <c r="W40" s="163" t="s">
        <v>29</v>
      </c>
      <c r="X40" s="163" t="s">
        <v>29</v>
      </c>
      <c r="Y40" s="163" t="s">
        <v>29</v>
      </c>
      <c r="Z40" s="163" t="s">
        <v>29</v>
      </c>
      <c r="AA40" s="163" t="s">
        <v>29</v>
      </c>
      <c r="AB40" s="163" t="s">
        <v>29</v>
      </c>
      <c r="AC40" s="161"/>
      <c r="AD40" s="161"/>
      <c r="AE40" s="162"/>
      <c r="AF40" s="163" t="s">
        <v>28</v>
      </c>
      <c r="AG40" s="163" t="s">
        <v>28</v>
      </c>
      <c r="AH40" s="163" t="s">
        <v>28</v>
      </c>
      <c r="AI40" s="163" t="s">
        <v>28</v>
      </c>
      <c r="AJ40" s="163" t="s">
        <v>28</v>
      </c>
      <c r="AK40" s="163" t="s">
        <v>28</v>
      </c>
      <c r="AL40" s="163" t="s">
        <v>29</v>
      </c>
      <c r="AM40" s="163" t="s">
        <v>29</v>
      </c>
      <c r="AN40" s="163"/>
      <c r="AO40" s="16">
        <f>COUNTIF(Tabla18[[#This Row],[1L]:[Columna1]],"D12")</f>
        <v>12</v>
      </c>
      <c r="AP40" s="17">
        <f>COUNTIF(Tabla18[[#This Row],[1L]:[Columna1]],"N12")</f>
        <v>12</v>
      </c>
      <c r="AQ40" s="18">
        <f>COUNTBLANK(Tabla18[[#This Row],[1L]:[Columna1]])</f>
        <v>7</v>
      </c>
      <c r="AR40" s="328">
        <v>0.75</v>
      </c>
      <c r="AS40" s="330"/>
      <c r="AT40" s="276">
        <v>0.25</v>
      </c>
      <c r="AU40" s="277"/>
      <c r="AV40" s="278"/>
      <c r="AW40" s="4"/>
    </row>
    <row r="41" spans="1:49" x14ac:dyDescent="0.25">
      <c r="F41" s="205">
        <v>1066718661</v>
      </c>
      <c r="G41" s="213" t="s">
        <v>60</v>
      </c>
      <c r="H41" s="15">
        <v>2026</v>
      </c>
      <c r="I41" s="15" t="s">
        <v>163</v>
      </c>
      <c r="J41" s="165"/>
      <c r="K41" s="167" t="s">
        <v>28</v>
      </c>
      <c r="L41" s="167" t="s">
        <v>28</v>
      </c>
      <c r="M41" s="167" t="s">
        <v>28</v>
      </c>
      <c r="N41" s="167" t="s">
        <v>28</v>
      </c>
      <c r="O41" s="167" t="s">
        <v>28</v>
      </c>
      <c r="P41" s="167" t="s">
        <v>28</v>
      </c>
      <c r="Q41" s="95" t="s">
        <v>29</v>
      </c>
      <c r="R41" s="95" t="s">
        <v>29</v>
      </c>
      <c r="S41" s="95" t="s">
        <v>29</v>
      </c>
      <c r="T41" s="95" t="s">
        <v>29</v>
      </c>
      <c r="U41" s="95" t="s">
        <v>29</v>
      </c>
      <c r="V41" s="95" t="s">
        <v>29</v>
      </c>
      <c r="W41" s="164"/>
      <c r="X41" s="164"/>
      <c r="Y41" s="165"/>
      <c r="Z41" s="167" t="s">
        <v>28</v>
      </c>
      <c r="AA41" s="167" t="s">
        <v>28</v>
      </c>
      <c r="AB41" s="167" t="s">
        <v>28</v>
      </c>
      <c r="AC41" s="167" t="s">
        <v>28</v>
      </c>
      <c r="AD41" s="167" t="s">
        <v>28</v>
      </c>
      <c r="AE41" s="167" t="s">
        <v>28</v>
      </c>
      <c r="AF41" s="95" t="s">
        <v>29</v>
      </c>
      <c r="AG41" s="95" t="s">
        <v>29</v>
      </c>
      <c r="AH41" s="95" t="s">
        <v>29</v>
      </c>
      <c r="AI41" s="95" t="s">
        <v>29</v>
      </c>
      <c r="AJ41" s="95" t="s">
        <v>29</v>
      </c>
      <c r="AK41" s="95" t="s">
        <v>29</v>
      </c>
      <c r="AL41" s="164"/>
      <c r="AM41" s="164"/>
      <c r="AN41" s="166"/>
      <c r="AO41" s="17">
        <f>COUNTIF(Tabla18[[#This Row],[1L]:[Columna1]],"D12")</f>
        <v>12</v>
      </c>
      <c r="AP41" s="17">
        <f>COUNTIF(Tabla18[[#This Row],[1L]:[Columna1]],"N12")</f>
        <v>12</v>
      </c>
      <c r="AQ41" s="18">
        <f>COUNTBLANK(Tabla18[[#This Row],[1L]:[Columna1]])</f>
        <v>7</v>
      </c>
      <c r="AR41" s="19"/>
      <c r="AS41" s="22"/>
      <c r="AT41" s="19"/>
      <c r="AU41" s="23"/>
      <c r="AV41" s="22"/>
      <c r="AW41" s="4"/>
    </row>
    <row r="42" spans="1:49" x14ac:dyDescent="0.25">
      <c r="F42" s="219">
        <v>93378743</v>
      </c>
      <c r="G42" s="205" t="s">
        <v>61</v>
      </c>
      <c r="H42" s="15">
        <v>2026</v>
      </c>
      <c r="I42" s="15" t="s">
        <v>163</v>
      </c>
      <c r="J42" s="166" t="s">
        <v>28</v>
      </c>
      <c r="K42" s="167" t="s">
        <v>29</v>
      </c>
      <c r="L42" s="167" t="s">
        <v>29</v>
      </c>
      <c r="M42" s="167" t="s">
        <v>29</v>
      </c>
      <c r="N42" s="167" t="s">
        <v>29</v>
      </c>
      <c r="O42" s="167" t="s">
        <v>29</v>
      </c>
      <c r="P42" s="167" t="s">
        <v>29</v>
      </c>
      <c r="Q42" s="164"/>
      <c r="R42" s="164"/>
      <c r="S42" s="165"/>
      <c r="T42" s="167" t="s">
        <v>28</v>
      </c>
      <c r="U42" s="167" t="s">
        <v>28</v>
      </c>
      <c r="V42" s="167" t="s">
        <v>28</v>
      </c>
      <c r="W42" s="166" t="s">
        <v>28</v>
      </c>
      <c r="X42" s="166" t="s">
        <v>28</v>
      </c>
      <c r="Y42" s="166" t="s">
        <v>28</v>
      </c>
      <c r="Z42" s="167" t="s">
        <v>29</v>
      </c>
      <c r="AA42" s="167" t="s">
        <v>29</v>
      </c>
      <c r="AB42" s="167" t="s">
        <v>29</v>
      </c>
      <c r="AC42" s="167" t="s">
        <v>29</v>
      </c>
      <c r="AD42" s="167" t="s">
        <v>29</v>
      </c>
      <c r="AE42" s="167" t="s">
        <v>29</v>
      </c>
      <c r="AF42" s="164"/>
      <c r="AG42" s="164"/>
      <c r="AH42" s="165"/>
      <c r="AI42" s="167" t="s">
        <v>28</v>
      </c>
      <c r="AJ42" s="167" t="s">
        <v>28</v>
      </c>
      <c r="AK42" s="167" t="s">
        <v>28</v>
      </c>
      <c r="AL42" s="166" t="s">
        <v>28</v>
      </c>
      <c r="AM42" s="166" t="s">
        <v>28</v>
      </c>
      <c r="AN42" s="166"/>
      <c r="AO42" s="17">
        <f>COUNTIF(Tabla18[[#This Row],[1L]:[Columna1]],"D12")</f>
        <v>12</v>
      </c>
      <c r="AP42" s="17">
        <f>COUNTIF(Tabla18[[#This Row],[1L]:[Columna1]],"N12")</f>
        <v>12</v>
      </c>
      <c r="AQ42" s="18">
        <f>COUNTBLANK(Tabla18[[#This Row],[1L]:[Columna1]])</f>
        <v>7</v>
      </c>
      <c r="AR42" s="19"/>
      <c r="AS42" s="22"/>
      <c r="AT42" s="19"/>
      <c r="AU42" s="23"/>
      <c r="AV42" s="22"/>
      <c r="AW42" s="4"/>
    </row>
    <row r="43" spans="1:49" x14ac:dyDescent="0.25">
      <c r="F43" s="219">
        <v>8472629</v>
      </c>
      <c r="G43" s="223" t="s">
        <v>62</v>
      </c>
      <c r="H43" s="15">
        <v>2026</v>
      </c>
      <c r="I43" s="15" t="s">
        <v>163</v>
      </c>
      <c r="J43" s="95" t="s">
        <v>29</v>
      </c>
      <c r="K43" s="164"/>
      <c r="L43" s="164"/>
      <c r="M43" s="165"/>
      <c r="N43" s="167" t="s">
        <v>28</v>
      </c>
      <c r="O43" s="167" t="s">
        <v>28</v>
      </c>
      <c r="P43" s="167" t="s">
        <v>28</v>
      </c>
      <c r="Q43" s="167" t="s">
        <v>28</v>
      </c>
      <c r="R43" s="167" t="s">
        <v>28</v>
      </c>
      <c r="S43" s="167" t="s">
        <v>28</v>
      </c>
      <c r="T43" s="95" t="s">
        <v>29</v>
      </c>
      <c r="U43" s="95" t="s">
        <v>29</v>
      </c>
      <c r="V43" s="95" t="s">
        <v>29</v>
      </c>
      <c r="W43" s="95" t="s">
        <v>29</v>
      </c>
      <c r="X43" s="95" t="s">
        <v>29</v>
      </c>
      <c r="Y43" s="95" t="s">
        <v>29</v>
      </c>
      <c r="Z43" s="164"/>
      <c r="AA43" s="164"/>
      <c r="AB43" s="165"/>
      <c r="AC43" s="167" t="s">
        <v>28</v>
      </c>
      <c r="AD43" s="167" t="s">
        <v>28</v>
      </c>
      <c r="AE43" s="167" t="s">
        <v>28</v>
      </c>
      <c r="AF43" s="167" t="s">
        <v>28</v>
      </c>
      <c r="AG43" s="167" t="s">
        <v>28</v>
      </c>
      <c r="AH43" s="166" t="s">
        <v>28</v>
      </c>
      <c r="AI43" s="166" t="s">
        <v>29</v>
      </c>
      <c r="AJ43" s="166" t="s">
        <v>29</v>
      </c>
      <c r="AK43" s="95" t="s">
        <v>29</v>
      </c>
      <c r="AL43" s="95" t="s">
        <v>29</v>
      </c>
      <c r="AM43" s="95" t="s">
        <v>29</v>
      </c>
      <c r="AN43" s="95"/>
      <c r="AO43" s="17">
        <f>COUNTIF(Tabla18[[#This Row],[1L]:[Columna1]],"D12")</f>
        <v>12</v>
      </c>
      <c r="AP43" s="17">
        <f>COUNTIF(Tabla18[[#This Row],[1L]:[Columna1]],"N12")</f>
        <v>12</v>
      </c>
      <c r="AQ43" s="18">
        <f>COUNTBLANK(Tabla18[[#This Row],[1L]:[Columna1]])</f>
        <v>7</v>
      </c>
      <c r="AR43" s="19"/>
      <c r="AS43" s="22"/>
      <c r="AT43" s="19"/>
      <c r="AU43" s="23"/>
      <c r="AV43" s="22"/>
      <c r="AW43" s="4"/>
    </row>
    <row r="44" spans="1:49" x14ac:dyDescent="0.25">
      <c r="E44" s="115"/>
      <c r="F44" s="251">
        <v>98581101</v>
      </c>
      <c r="G44" s="223" t="s">
        <v>164</v>
      </c>
      <c r="H44" s="15">
        <v>2026</v>
      </c>
      <c r="I44" s="15" t="s">
        <v>163</v>
      </c>
      <c r="J44" s="167" t="s">
        <v>28</v>
      </c>
      <c r="K44" s="167" t="s">
        <v>28</v>
      </c>
      <c r="L44" s="167" t="s">
        <v>28</v>
      </c>
      <c r="M44" s="167" t="s">
        <v>28</v>
      </c>
      <c r="N44" s="166" t="s">
        <v>29</v>
      </c>
      <c r="O44" s="166" t="s">
        <v>29</v>
      </c>
      <c r="P44" s="166" t="s">
        <v>29</v>
      </c>
      <c r="Q44" s="166" t="s">
        <v>29</v>
      </c>
      <c r="R44" s="166" t="s">
        <v>29</v>
      </c>
      <c r="S44" s="166" t="s">
        <v>29</v>
      </c>
      <c r="T44" s="164"/>
      <c r="U44" s="164"/>
      <c r="V44" s="165"/>
      <c r="W44" s="167" t="s">
        <v>28</v>
      </c>
      <c r="X44" s="167" t="s">
        <v>28</v>
      </c>
      <c r="Y44" s="167" t="s">
        <v>28</v>
      </c>
      <c r="Z44" s="166" t="s">
        <v>28</v>
      </c>
      <c r="AA44" s="166" t="s">
        <v>28</v>
      </c>
      <c r="AB44" s="166" t="s">
        <v>28</v>
      </c>
      <c r="AC44" s="167" t="s">
        <v>29</v>
      </c>
      <c r="AD44" s="167" t="s">
        <v>29</v>
      </c>
      <c r="AE44" s="167" t="s">
        <v>29</v>
      </c>
      <c r="AF44" s="167" t="s">
        <v>29</v>
      </c>
      <c r="AG44" s="167" t="s">
        <v>29</v>
      </c>
      <c r="AH44" s="167" t="s">
        <v>29</v>
      </c>
      <c r="AI44" s="164"/>
      <c r="AJ44" s="164"/>
      <c r="AK44" s="165"/>
      <c r="AL44" s="167" t="s">
        <v>28</v>
      </c>
      <c r="AM44" s="167" t="s">
        <v>28</v>
      </c>
      <c r="AN44" s="167"/>
      <c r="AO44" s="149">
        <f>COUNTIF(Tabla18[[#This Row],[1L]:[Columna1]],"D12")</f>
        <v>12</v>
      </c>
      <c r="AP44" s="17">
        <f>COUNTIF(Tabla18[[#This Row],[1L]:[Columna1]],"N12")</f>
        <v>12</v>
      </c>
      <c r="AQ44" s="18">
        <f>COUNTBLANK(Tabla18[[#This Row],[1L]:[Columna1]])</f>
        <v>7</v>
      </c>
      <c r="AR44" s="19"/>
      <c r="AS44" s="22"/>
      <c r="AT44" s="19"/>
      <c r="AU44" s="23"/>
      <c r="AV44" s="22"/>
      <c r="AW44" s="4"/>
    </row>
    <row r="45" spans="1:49" x14ac:dyDescent="0.25">
      <c r="E45" s="115"/>
      <c r="F45" s="251"/>
      <c r="G45" s="223"/>
      <c r="H45" s="15">
        <v>2026</v>
      </c>
      <c r="I45" s="15" t="s">
        <v>163</v>
      </c>
      <c r="J45" s="25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101"/>
      <c r="AN45" s="101"/>
      <c r="AO45" s="149">
        <f>COUNTIF(Tabla18[[#This Row],[1L]:[Columna1]],"D12")</f>
        <v>0</v>
      </c>
      <c r="AP45" s="17">
        <f>COUNTIF(Tabla18[[#This Row],[1L]:[Columna1]],"N12")</f>
        <v>0</v>
      </c>
      <c r="AQ45" s="18">
        <f>COUNTBLANK(Tabla18[[#This Row],[1L]:[Columna1]])</f>
        <v>31</v>
      </c>
      <c r="AR45" s="19"/>
      <c r="AS45" s="22"/>
      <c r="AT45" s="19"/>
      <c r="AU45" s="23"/>
      <c r="AV45" s="22"/>
      <c r="AW45" s="4"/>
    </row>
    <row r="46" spans="1:49" ht="18.75" x14ac:dyDescent="0.25">
      <c r="F46" s="202"/>
      <c r="G46" s="39"/>
      <c r="H46" s="15">
        <v>2026</v>
      </c>
      <c r="I46" s="15" t="s">
        <v>163</v>
      </c>
      <c r="J46" s="150">
        <f t="shared" ref="J46:AM46" si="2">COUNTIF(J40:J45,"D12")</f>
        <v>2</v>
      </c>
      <c r="K46" s="150">
        <f t="shared" si="2"/>
        <v>2</v>
      </c>
      <c r="L46" s="150">
        <f t="shared" si="2"/>
        <v>2</v>
      </c>
      <c r="M46" s="150">
        <f t="shared" si="2"/>
        <v>2</v>
      </c>
      <c r="N46" s="150">
        <f t="shared" si="2"/>
        <v>2</v>
      </c>
      <c r="O46" s="150">
        <f t="shared" si="2"/>
        <v>2</v>
      </c>
      <c r="P46" s="150">
        <f t="shared" si="2"/>
        <v>2</v>
      </c>
      <c r="Q46" s="150">
        <f t="shared" si="2"/>
        <v>2</v>
      </c>
      <c r="R46" s="150">
        <f t="shared" si="2"/>
        <v>2</v>
      </c>
      <c r="S46" s="150">
        <f t="shared" si="2"/>
        <v>2</v>
      </c>
      <c r="T46" s="150">
        <f t="shared" si="2"/>
        <v>2</v>
      </c>
      <c r="U46" s="150">
        <f t="shared" si="2"/>
        <v>2</v>
      </c>
      <c r="V46" s="150">
        <f t="shared" si="2"/>
        <v>2</v>
      </c>
      <c r="W46" s="150">
        <f t="shared" si="2"/>
        <v>2</v>
      </c>
      <c r="X46" s="150">
        <f t="shared" si="2"/>
        <v>2</v>
      </c>
      <c r="Y46" s="150">
        <f t="shared" si="2"/>
        <v>2</v>
      </c>
      <c r="Z46" s="150">
        <f t="shared" si="2"/>
        <v>2</v>
      </c>
      <c r="AA46" s="150">
        <f t="shared" si="2"/>
        <v>2</v>
      </c>
      <c r="AB46" s="150">
        <f t="shared" si="2"/>
        <v>2</v>
      </c>
      <c r="AC46" s="150">
        <f t="shared" si="2"/>
        <v>2</v>
      </c>
      <c r="AD46" s="150">
        <f t="shared" si="2"/>
        <v>2</v>
      </c>
      <c r="AE46" s="150">
        <f t="shared" si="2"/>
        <v>2</v>
      </c>
      <c r="AF46" s="150">
        <f t="shared" si="2"/>
        <v>2</v>
      </c>
      <c r="AG46" s="150">
        <f t="shared" si="2"/>
        <v>2</v>
      </c>
      <c r="AH46" s="150">
        <f t="shared" si="2"/>
        <v>2</v>
      </c>
      <c r="AI46" s="150">
        <f t="shared" si="2"/>
        <v>2</v>
      </c>
      <c r="AJ46" s="150">
        <f t="shared" si="2"/>
        <v>2</v>
      </c>
      <c r="AK46" s="150">
        <f t="shared" si="2"/>
        <v>2</v>
      </c>
      <c r="AL46" s="150">
        <f t="shared" si="2"/>
        <v>2</v>
      </c>
      <c r="AM46" s="150">
        <f t="shared" si="2"/>
        <v>2</v>
      </c>
      <c r="AN46" s="150">
        <f>COUNTIF(AN39:AN45,"D12")</f>
        <v>0</v>
      </c>
      <c r="AO46" s="33"/>
      <c r="AP46" s="33"/>
      <c r="AQ46" s="34"/>
      <c r="AR46" s="4"/>
      <c r="AS46" s="4"/>
      <c r="AT46" s="4"/>
      <c r="AU46" s="4"/>
      <c r="AV46" s="4"/>
      <c r="AW46" s="4"/>
    </row>
    <row r="47" spans="1:49" ht="14.25" customHeight="1" x14ac:dyDescent="0.25">
      <c r="F47" s="222"/>
      <c r="G47" s="73"/>
      <c r="H47" s="15">
        <v>2026</v>
      </c>
      <c r="I47" s="15" t="s">
        <v>163</v>
      </c>
      <c r="J47" s="151">
        <f t="shared" ref="J47:AM47" si="3">COUNTIF(J40:J45,"N12")</f>
        <v>2</v>
      </c>
      <c r="K47" s="151">
        <f t="shared" si="3"/>
        <v>2</v>
      </c>
      <c r="L47" s="151">
        <f t="shared" si="3"/>
        <v>2</v>
      </c>
      <c r="M47" s="151">
        <f t="shared" si="3"/>
        <v>2</v>
      </c>
      <c r="N47" s="151">
        <f t="shared" si="3"/>
        <v>2</v>
      </c>
      <c r="O47" s="151">
        <f t="shared" si="3"/>
        <v>2</v>
      </c>
      <c r="P47" s="151">
        <f t="shared" si="3"/>
        <v>2</v>
      </c>
      <c r="Q47" s="151">
        <f t="shared" si="3"/>
        <v>2</v>
      </c>
      <c r="R47" s="151">
        <f t="shared" si="3"/>
        <v>2</v>
      </c>
      <c r="S47" s="151">
        <f t="shared" si="3"/>
        <v>2</v>
      </c>
      <c r="T47" s="151">
        <f t="shared" si="3"/>
        <v>2</v>
      </c>
      <c r="U47" s="151">
        <f t="shared" si="3"/>
        <v>2</v>
      </c>
      <c r="V47" s="151">
        <f t="shared" si="3"/>
        <v>2</v>
      </c>
      <c r="W47" s="151">
        <f t="shared" si="3"/>
        <v>2</v>
      </c>
      <c r="X47" s="151">
        <f t="shared" si="3"/>
        <v>2</v>
      </c>
      <c r="Y47" s="151">
        <f t="shared" si="3"/>
        <v>2</v>
      </c>
      <c r="Z47" s="151">
        <f t="shared" si="3"/>
        <v>2</v>
      </c>
      <c r="AA47" s="151">
        <f t="shared" si="3"/>
        <v>2</v>
      </c>
      <c r="AB47" s="151">
        <f t="shared" si="3"/>
        <v>2</v>
      </c>
      <c r="AC47" s="151">
        <f t="shared" si="3"/>
        <v>2</v>
      </c>
      <c r="AD47" s="151">
        <f t="shared" si="3"/>
        <v>2</v>
      </c>
      <c r="AE47" s="151">
        <f t="shared" si="3"/>
        <v>2</v>
      </c>
      <c r="AF47" s="151">
        <f t="shared" si="3"/>
        <v>2</v>
      </c>
      <c r="AG47" s="151">
        <f t="shared" si="3"/>
        <v>2</v>
      </c>
      <c r="AH47" s="151">
        <f t="shared" si="3"/>
        <v>2</v>
      </c>
      <c r="AI47" s="151">
        <f t="shared" si="3"/>
        <v>2</v>
      </c>
      <c r="AJ47" s="151">
        <f t="shared" si="3"/>
        <v>2</v>
      </c>
      <c r="AK47" s="151">
        <f t="shared" si="3"/>
        <v>2</v>
      </c>
      <c r="AL47" s="151">
        <f t="shared" si="3"/>
        <v>2</v>
      </c>
      <c r="AM47" s="151">
        <f t="shared" si="3"/>
        <v>2</v>
      </c>
      <c r="AN47" s="151">
        <f>COUNTIF(AN39:AN45,"N12")</f>
        <v>0</v>
      </c>
      <c r="AO47" s="38"/>
      <c r="AP47" s="38"/>
      <c r="AQ47" s="34"/>
      <c r="AR47" s="4"/>
      <c r="AS47" s="4"/>
      <c r="AT47" s="4"/>
      <c r="AU47" s="4"/>
      <c r="AV47" s="4"/>
      <c r="AW47" s="4"/>
    </row>
    <row r="48" spans="1:49" s="39" customFormat="1" ht="15" customHeight="1" x14ac:dyDescent="0.25">
      <c r="F48" s="51"/>
      <c r="G48" s="51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3"/>
      <c r="AJ48" s="53"/>
      <c r="AK48" s="53"/>
      <c r="AL48" s="53"/>
      <c r="AM48" s="53"/>
      <c r="AN48" s="53"/>
      <c r="AO48" s="54"/>
      <c r="AP48" s="54"/>
      <c r="AQ48" s="54"/>
    </row>
    <row r="49" spans="6:49" s="39" customFormat="1" ht="15" customHeight="1" x14ac:dyDescent="0.25">
      <c r="F49" s="51"/>
      <c r="G49" s="51"/>
      <c r="H49" s="301" t="s">
        <v>36</v>
      </c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3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53"/>
      <c r="AO49" s="54"/>
      <c r="AP49" s="54"/>
      <c r="AQ49" s="54"/>
    </row>
    <row r="50" spans="6:49" s="39" customFormat="1" ht="15" customHeight="1" x14ac:dyDescent="0.25">
      <c r="F50" s="51"/>
      <c r="G50" s="51"/>
      <c r="H50" s="304" t="s">
        <v>37</v>
      </c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6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53"/>
      <c r="AO50" s="54"/>
      <c r="AP50" s="54"/>
      <c r="AQ50" s="54"/>
    </row>
    <row r="51" spans="6:49" s="39" customFormat="1" ht="15" customHeight="1" x14ac:dyDescent="0.25">
      <c r="F51" s="51"/>
      <c r="G51" s="51"/>
      <c r="H51" s="304" t="s">
        <v>38</v>
      </c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6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53"/>
      <c r="AO51" s="54"/>
      <c r="AP51" s="54"/>
      <c r="AQ51" s="54"/>
    </row>
    <row r="52" spans="6:49" s="39" customFormat="1" ht="15" customHeight="1" x14ac:dyDescent="0.25">
      <c r="F52" s="51"/>
      <c r="G52" s="5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53"/>
      <c r="AO52" s="54"/>
      <c r="AP52" s="54"/>
      <c r="AQ52" s="54"/>
    </row>
    <row r="53" spans="6:49" s="39" customFormat="1" ht="15" customHeight="1" x14ac:dyDescent="0.25">
      <c r="F53" s="51"/>
      <c r="G53" s="51"/>
      <c r="H53" s="55"/>
      <c r="I53" s="279" t="s">
        <v>39</v>
      </c>
      <c r="J53" s="280"/>
      <c r="K53" s="280"/>
      <c r="L53" s="281"/>
      <c r="M53" s="56"/>
      <c r="N53" s="279" t="s">
        <v>40</v>
      </c>
      <c r="O53" s="280"/>
      <c r="P53" s="280"/>
      <c r="Q53" s="280"/>
      <c r="R53" s="281"/>
      <c r="S53" s="300" t="s">
        <v>13</v>
      </c>
      <c r="T53" s="300"/>
      <c r="U53" s="300" t="s">
        <v>14</v>
      </c>
      <c r="V53" s="300"/>
      <c r="W53" s="300"/>
      <c r="X53" s="1"/>
      <c r="Y53" s="1"/>
      <c r="Z53" s="1"/>
      <c r="AA53" s="1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53"/>
      <c r="AO53" s="54"/>
      <c r="AP53" s="54"/>
      <c r="AQ53" s="54"/>
    </row>
    <row r="54" spans="6:49" s="39" customFormat="1" ht="15" customHeight="1" x14ac:dyDescent="0.25">
      <c r="F54" s="51"/>
      <c r="G54" s="51"/>
      <c r="H54" s="46" t="s">
        <v>32</v>
      </c>
      <c r="I54" s="279" t="s">
        <v>41</v>
      </c>
      <c r="J54" s="280"/>
      <c r="K54" s="280"/>
      <c r="L54" s="281"/>
      <c r="M54" s="47" t="s">
        <v>42</v>
      </c>
      <c r="N54" s="279" t="s">
        <v>43</v>
      </c>
      <c r="O54" s="280"/>
      <c r="P54" s="280"/>
      <c r="Q54" s="280"/>
      <c r="R54" s="281"/>
      <c r="S54" s="335">
        <v>0.25</v>
      </c>
      <c r="T54" s="337"/>
      <c r="U54" s="340">
        <v>0.75</v>
      </c>
      <c r="V54" s="342"/>
      <c r="W54" s="341"/>
      <c r="X54" s="1"/>
      <c r="Y54" s="1"/>
      <c r="Z54" s="1"/>
      <c r="AA54" s="1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53"/>
      <c r="AO54" s="54"/>
      <c r="AP54" s="54"/>
      <c r="AQ54" s="54"/>
    </row>
    <row r="55" spans="6:49" s="39" customFormat="1" ht="15" customHeight="1" x14ac:dyDescent="0.25">
      <c r="F55" s="51"/>
      <c r="G55" s="51"/>
      <c r="H55" s="48" t="s">
        <v>44</v>
      </c>
      <c r="I55" s="279" t="s">
        <v>45</v>
      </c>
      <c r="J55" s="280"/>
      <c r="K55" s="280"/>
      <c r="L55" s="281"/>
      <c r="M55" s="49" t="s">
        <v>46</v>
      </c>
      <c r="N55" s="279" t="s">
        <v>47</v>
      </c>
      <c r="O55" s="280"/>
      <c r="P55" s="280"/>
      <c r="Q55" s="280"/>
      <c r="R55" s="281"/>
      <c r="S55" s="328">
        <v>0.75</v>
      </c>
      <c r="T55" s="330"/>
      <c r="U55" s="276">
        <v>0.25</v>
      </c>
      <c r="V55" s="277"/>
      <c r="W55" s="278"/>
      <c r="X55" s="1"/>
      <c r="Y55" s="1"/>
      <c r="Z55" s="1"/>
      <c r="AA55" s="1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53"/>
      <c r="AO55" s="54"/>
      <c r="AP55" s="54"/>
      <c r="AQ55" s="54"/>
    </row>
    <row r="56" spans="6:49" s="39" customFormat="1" ht="15" customHeight="1" x14ac:dyDescent="0.25">
      <c r="F56" s="51"/>
      <c r="G56" s="51"/>
      <c r="H56" s="1" t="s">
        <v>48</v>
      </c>
      <c r="I56" s="279" t="s">
        <v>49</v>
      </c>
      <c r="J56" s="280"/>
      <c r="K56" s="280"/>
      <c r="L56" s="281"/>
      <c r="M56" s="39" t="s">
        <v>50</v>
      </c>
      <c r="N56" s="279" t="s">
        <v>51</v>
      </c>
      <c r="O56" s="280"/>
      <c r="P56" s="280"/>
      <c r="Q56" s="280"/>
      <c r="R56" s="281"/>
      <c r="S56" s="276">
        <v>0.70833333333333337</v>
      </c>
      <c r="T56" s="282"/>
      <c r="U56" s="19"/>
      <c r="V56" s="21">
        <v>0.20833333333333334</v>
      </c>
      <c r="W56" s="22"/>
      <c r="X56" s="1"/>
      <c r="Y56" s="1"/>
      <c r="Z56" s="1"/>
      <c r="AA56" s="1"/>
      <c r="AB56" s="52"/>
      <c r="AC56" s="52"/>
      <c r="AD56" s="52"/>
      <c r="AE56" s="52"/>
      <c r="AF56" s="52"/>
      <c r="AG56" s="52"/>
      <c r="AH56" s="52"/>
      <c r="AI56" s="53"/>
      <c r="AJ56" s="53"/>
      <c r="AK56" s="53"/>
      <c r="AL56" s="53"/>
      <c r="AM56" s="53"/>
      <c r="AN56" s="53"/>
      <c r="AO56" s="54"/>
      <c r="AP56" s="54"/>
      <c r="AQ56" s="54"/>
    </row>
    <row r="57" spans="6:49" s="39" customFormat="1" ht="15" customHeight="1" x14ac:dyDescent="0.25">
      <c r="F57" s="51"/>
      <c r="G57" s="51"/>
      <c r="H57" s="1" t="s">
        <v>29</v>
      </c>
      <c r="I57" s="279" t="s">
        <v>52</v>
      </c>
      <c r="J57" s="280"/>
      <c r="K57" s="280"/>
      <c r="L57" s="281"/>
      <c r="M57" s="1" t="s">
        <v>53</v>
      </c>
      <c r="N57" s="279" t="s">
        <v>54</v>
      </c>
      <c r="O57" s="280"/>
      <c r="P57" s="280"/>
      <c r="Q57" s="280"/>
      <c r="R57" s="281"/>
      <c r="S57" s="276">
        <v>0.20833333333333334</v>
      </c>
      <c r="T57" s="282"/>
      <c r="U57" s="19"/>
      <c r="V57" s="21">
        <v>0.70833333333333337</v>
      </c>
      <c r="W57" s="22"/>
      <c r="X57" s="1"/>
      <c r="Y57" s="1"/>
      <c r="Z57" s="1"/>
      <c r="AA57" s="1"/>
      <c r="AB57" s="52"/>
      <c r="AC57" s="52"/>
      <c r="AD57" s="52"/>
      <c r="AE57" s="52"/>
      <c r="AF57" s="52"/>
      <c r="AG57" s="52"/>
      <c r="AH57" s="52"/>
      <c r="AI57" s="53"/>
      <c r="AJ57" s="53"/>
      <c r="AK57" s="53"/>
      <c r="AL57" s="53"/>
      <c r="AM57" s="53"/>
      <c r="AN57" s="53"/>
      <c r="AO57" s="54"/>
      <c r="AP57" s="54"/>
      <c r="AQ57" s="54"/>
    </row>
    <row r="58" spans="6:49" s="39" customFormat="1" ht="15" customHeight="1" x14ac:dyDescent="0.25">
      <c r="F58" s="51"/>
      <c r="G58" s="51"/>
      <c r="H58" s="1" t="s">
        <v>28</v>
      </c>
      <c r="I58" s="279" t="s">
        <v>55</v>
      </c>
      <c r="J58" s="280"/>
      <c r="K58" s="280"/>
      <c r="L58" s="281"/>
      <c r="M58" s="1" t="s">
        <v>31</v>
      </c>
      <c r="N58" s="279" t="s">
        <v>56</v>
      </c>
      <c r="O58" s="280"/>
      <c r="P58" s="280"/>
      <c r="Q58" s="280"/>
      <c r="R58" s="281"/>
      <c r="S58" s="19"/>
      <c r="T58" s="22"/>
      <c r="U58" s="19"/>
      <c r="V58" s="23"/>
      <c r="W58" s="22"/>
      <c r="X58" s="1"/>
      <c r="Y58" s="1"/>
      <c r="Z58" s="1"/>
      <c r="AA58" s="1"/>
      <c r="AB58" s="52"/>
      <c r="AC58" s="52"/>
      <c r="AD58" s="52"/>
      <c r="AE58" s="52"/>
      <c r="AF58" s="52"/>
      <c r="AG58" s="52"/>
      <c r="AH58" s="52"/>
      <c r="AI58" s="53"/>
      <c r="AJ58" s="53"/>
      <c r="AK58" s="53"/>
      <c r="AL58" s="53"/>
      <c r="AM58" s="53"/>
      <c r="AN58" s="53"/>
      <c r="AO58" s="54"/>
      <c r="AP58" s="54"/>
      <c r="AQ58" s="54"/>
    </row>
    <row r="59" spans="6:49" s="39" customFormat="1" ht="15" customHeight="1" x14ac:dyDescent="0.25">
      <c r="F59" s="51"/>
      <c r="G59" s="51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19"/>
      <c r="T59" s="22"/>
      <c r="U59" s="19"/>
      <c r="V59" s="23"/>
      <c r="W59" s="2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3"/>
      <c r="AJ59" s="53"/>
      <c r="AK59" s="53"/>
      <c r="AL59" s="53"/>
      <c r="AM59" s="53"/>
      <c r="AN59" s="53"/>
      <c r="AO59" s="54"/>
      <c r="AP59" s="54"/>
      <c r="AQ59" s="54"/>
    </row>
    <row r="60" spans="6:49" s="39" customFormat="1" ht="15" customHeight="1" x14ac:dyDescent="0.25">
      <c r="F60" s="51"/>
      <c r="G60" s="51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19"/>
      <c r="T60" s="22"/>
      <c r="U60" s="19"/>
      <c r="V60" s="23"/>
      <c r="W60" s="2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3"/>
      <c r="AJ60" s="53"/>
      <c r="AK60" s="53"/>
      <c r="AL60" s="53"/>
      <c r="AM60" s="53"/>
      <c r="AN60" s="53"/>
      <c r="AO60" s="54"/>
      <c r="AP60" s="54"/>
      <c r="AQ60" s="54"/>
    </row>
    <row r="61" spans="6:49" s="39" customFormat="1" ht="15" customHeight="1" x14ac:dyDescent="0.25">
      <c r="F61" s="51"/>
      <c r="G61" s="51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3"/>
      <c r="AJ61" s="53"/>
      <c r="AK61" s="53"/>
      <c r="AL61" s="53"/>
      <c r="AM61" s="53"/>
      <c r="AN61" s="53"/>
      <c r="AO61" s="54"/>
      <c r="AP61" s="54"/>
      <c r="AQ61" s="54"/>
    </row>
    <row r="62" spans="6:49" ht="15" customHeight="1" x14ac:dyDescent="0.25">
      <c r="F62" s="283" t="s">
        <v>85</v>
      </c>
      <c r="G62" s="284"/>
      <c r="H62" s="57" t="s">
        <v>1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9"/>
      <c r="AI62" s="315" t="s">
        <v>2</v>
      </c>
      <c r="AJ62" s="316"/>
      <c r="AK62" s="316"/>
      <c r="AL62" s="316"/>
      <c r="AM62" s="316"/>
      <c r="AN62" s="317"/>
      <c r="AO62" s="3"/>
      <c r="AP62" s="3"/>
      <c r="AQ62" s="3"/>
      <c r="AR62" s="4"/>
      <c r="AS62" s="4"/>
      <c r="AT62" s="4"/>
      <c r="AU62" s="4"/>
      <c r="AV62" s="4"/>
      <c r="AW62" s="4"/>
    </row>
    <row r="63" spans="6:49" ht="13.5" customHeight="1" x14ac:dyDescent="0.25">
      <c r="F63" s="285"/>
      <c r="G63" s="286"/>
      <c r="H63" s="57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9"/>
      <c r="AI63" s="318"/>
      <c r="AJ63" s="319"/>
      <c r="AK63" s="319"/>
      <c r="AL63" s="319"/>
      <c r="AM63" s="319"/>
      <c r="AN63" s="320"/>
      <c r="AO63" s="3"/>
      <c r="AP63" s="3"/>
      <c r="AQ63" s="3"/>
      <c r="AR63" s="4"/>
      <c r="AS63" s="4"/>
      <c r="AT63" s="4"/>
      <c r="AU63" s="4"/>
      <c r="AV63" s="4"/>
      <c r="AW63" s="4"/>
    </row>
    <row r="64" spans="6:49" ht="15" customHeight="1" x14ac:dyDescent="0.25">
      <c r="F64" s="287"/>
      <c r="G64" s="288"/>
      <c r="H64" s="5" t="s">
        <v>3</v>
      </c>
      <c r="I64" s="6"/>
      <c r="J64" s="6"/>
      <c r="K64" s="60" t="s">
        <v>4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1"/>
      <c r="AI64" s="315" t="s">
        <v>5</v>
      </c>
      <c r="AJ64" s="316"/>
      <c r="AK64" s="316"/>
      <c r="AL64" s="316"/>
      <c r="AM64" s="316"/>
      <c r="AN64" s="317"/>
      <c r="AO64" s="3"/>
      <c r="AP64" s="3"/>
      <c r="AQ64" s="3"/>
      <c r="AR64" s="4"/>
      <c r="AS64" s="4"/>
      <c r="AT64" s="4"/>
      <c r="AU64" s="4"/>
      <c r="AV64" s="4"/>
      <c r="AW64" s="4"/>
    </row>
    <row r="65" spans="1:49" ht="15" customHeight="1" x14ac:dyDescent="0.25">
      <c r="F65" s="283" t="s">
        <v>86</v>
      </c>
      <c r="G65" s="284"/>
      <c r="H65" s="5" t="s">
        <v>6</v>
      </c>
      <c r="I65" s="6"/>
      <c r="J65" s="6"/>
      <c r="K65" s="60" t="s">
        <v>7</v>
      </c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1"/>
      <c r="AI65" s="318"/>
      <c r="AJ65" s="319"/>
      <c r="AK65" s="319"/>
      <c r="AL65" s="319"/>
      <c r="AM65" s="319"/>
      <c r="AN65" s="320"/>
      <c r="AO65" s="3"/>
      <c r="AP65" s="3"/>
      <c r="AQ65" s="3"/>
      <c r="AR65" s="4"/>
      <c r="AS65" s="4"/>
      <c r="AT65" s="4"/>
      <c r="AU65" s="4"/>
      <c r="AV65" s="4"/>
      <c r="AW65" s="4"/>
    </row>
    <row r="66" spans="1:49" ht="15" customHeight="1" x14ac:dyDescent="0.25">
      <c r="F66" s="285"/>
      <c r="G66" s="286"/>
      <c r="H66" s="5" t="s">
        <v>8</v>
      </c>
      <c r="I66" s="6"/>
      <c r="J66" s="6"/>
      <c r="K66" s="60" t="s">
        <v>9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1"/>
      <c r="AI66" s="315" t="s">
        <v>10</v>
      </c>
      <c r="AJ66" s="316"/>
      <c r="AK66" s="316"/>
      <c r="AL66" s="316"/>
      <c r="AM66" s="316"/>
      <c r="AN66" s="317"/>
      <c r="AO66" s="3"/>
      <c r="AP66" s="3"/>
      <c r="AQ66" s="3"/>
      <c r="AR66" s="4"/>
      <c r="AS66" s="4"/>
      <c r="AT66" s="4"/>
      <c r="AU66" s="4"/>
      <c r="AV66" s="4"/>
      <c r="AW66" s="4"/>
    </row>
    <row r="67" spans="1:49" ht="15" customHeight="1" x14ac:dyDescent="0.25">
      <c r="F67" s="287"/>
      <c r="G67" s="288"/>
      <c r="H67" s="62" t="s">
        <v>11</v>
      </c>
      <c r="I67" s="63"/>
      <c r="J67" s="63"/>
      <c r="K67" s="64" t="s">
        <v>12</v>
      </c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5"/>
      <c r="AI67" s="318"/>
      <c r="AJ67" s="319"/>
      <c r="AK67" s="319"/>
      <c r="AL67" s="319"/>
      <c r="AM67" s="319"/>
      <c r="AN67" s="320"/>
      <c r="AO67" s="2"/>
      <c r="AP67" s="2"/>
      <c r="AQ67" s="2"/>
      <c r="AR67" s="334" t="s">
        <v>13</v>
      </c>
      <c r="AS67" s="334"/>
      <c r="AT67" s="334" t="s">
        <v>14</v>
      </c>
      <c r="AU67" s="334"/>
      <c r="AV67" s="334"/>
      <c r="AW67" s="4"/>
    </row>
    <row r="68" spans="1:49" ht="18.75" x14ac:dyDescent="0.25">
      <c r="A68" s="7" t="s">
        <v>15</v>
      </c>
      <c r="B68" s="8" t="s">
        <v>16</v>
      </c>
      <c r="C68" s="9" t="s">
        <v>17</v>
      </c>
      <c r="D68" s="9" t="s">
        <v>18</v>
      </c>
      <c r="E68" s="9" t="s">
        <v>19</v>
      </c>
      <c r="F68" s="10" t="s">
        <v>20</v>
      </c>
      <c r="G68" s="7" t="s">
        <v>21</v>
      </c>
      <c r="H68" s="7" t="s">
        <v>22</v>
      </c>
      <c r="I68" s="7" t="s">
        <v>23</v>
      </c>
      <c r="J68" s="247" t="s">
        <v>132</v>
      </c>
      <c r="K68" s="247" t="s">
        <v>133</v>
      </c>
      <c r="L68" s="247" t="s">
        <v>134</v>
      </c>
      <c r="M68" s="247" t="s">
        <v>135</v>
      </c>
      <c r="N68" s="247" t="s">
        <v>136</v>
      </c>
      <c r="O68" s="247" t="s">
        <v>137</v>
      </c>
      <c r="P68" s="155" t="s">
        <v>138</v>
      </c>
      <c r="Q68" s="155" t="s">
        <v>139</v>
      </c>
      <c r="R68" s="247" t="s">
        <v>140</v>
      </c>
      <c r="S68" s="247" t="s">
        <v>141</v>
      </c>
      <c r="T68" s="247" t="s">
        <v>142</v>
      </c>
      <c r="U68" s="247" t="s">
        <v>143</v>
      </c>
      <c r="V68" s="247" t="s">
        <v>144</v>
      </c>
      <c r="W68" s="155" t="s">
        <v>145</v>
      </c>
      <c r="X68" s="155" t="s">
        <v>146</v>
      </c>
      <c r="Y68" s="247" t="s">
        <v>147</v>
      </c>
      <c r="Z68" s="247" t="s">
        <v>148</v>
      </c>
      <c r="AA68" s="247" t="s">
        <v>149</v>
      </c>
      <c r="AB68" s="247" t="s">
        <v>150</v>
      </c>
      <c r="AC68" s="247" t="s">
        <v>151</v>
      </c>
      <c r="AD68" s="155" t="s">
        <v>152</v>
      </c>
      <c r="AE68" s="247" t="s">
        <v>153</v>
      </c>
      <c r="AF68" s="247" t="s">
        <v>154</v>
      </c>
      <c r="AG68" s="247" t="s">
        <v>155</v>
      </c>
      <c r="AH68" s="248" t="s">
        <v>156</v>
      </c>
      <c r="AI68" s="247" t="s">
        <v>157</v>
      </c>
      <c r="AJ68" s="247" t="s">
        <v>158</v>
      </c>
      <c r="AK68" s="155" t="s">
        <v>159</v>
      </c>
      <c r="AL68" s="155" t="s">
        <v>160</v>
      </c>
      <c r="AM68" s="247" t="s">
        <v>161</v>
      </c>
      <c r="AN68" s="249" t="s">
        <v>162</v>
      </c>
      <c r="AO68" s="11" t="s">
        <v>24</v>
      </c>
      <c r="AP68" s="11" t="s">
        <v>25</v>
      </c>
      <c r="AQ68" s="11" t="s">
        <v>26</v>
      </c>
      <c r="AR68" s="340">
        <v>0.75</v>
      </c>
      <c r="AS68" s="341"/>
      <c r="AT68" s="340">
        <v>0.25</v>
      </c>
      <c r="AU68" s="342"/>
      <c r="AV68" s="341"/>
      <c r="AW68" s="9"/>
    </row>
    <row r="69" spans="1:49" x14ac:dyDescent="0.25">
      <c r="F69" s="166">
        <v>1080932097</v>
      </c>
      <c r="G69" s="220" t="s">
        <v>87</v>
      </c>
      <c r="H69" s="15">
        <v>2026</v>
      </c>
      <c r="I69" s="15" t="s">
        <v>163</v>
      </c>
      <c r="J69" s="163" t="s">
        <v>28</v>
      </c>
      <c r="K69" s="163" t="s">
        <v>28</v>
      </c>
      <c r="L69" s="163" t="s">
        <v>29</v>
      </c>
      <c r="M69" s="163" t="s">
        <v>29</v>
      </c>
      <c r="N69" s="163" t="s">
        <v>29</v>
      </c>
      <c r="O69" s="163" t="s">
        <v>29</v>
      </c>
      <c r="P69" s="163" t="s">
        <v>29</v>
      </c>
      <c r="Q69" s="163" t="s">
        <v>29</v>
      </c>
      <c r="R69" s="161"/>
      <c r="S69" s="161"/>
      <c r="T69" s="162"/>
      <c r="U69" s="163" t="s">
        <v>28</v>
      </c>
      <c r="V69" s="163" t="s">
        <v>28</v>
      </c>
      <c r="W69" s="163" t="s">
        <v>28</v>
      </c>
      <c r="X69" s="163" t="s">
        <v>28</v>
      </c>
      <c r="Y69" s="163" t="s">
        <v>28</v>
      </c>
      <c r="Z69" s="163" t="s">
        <v>28</v>
      </c>
      <c r="AA69" s="163" t="s">
        <v>29</v>
      </c>
      <c r="AB69" s="163" t="s">
        <v>29</v>
      </c>
      <c r="AC69" s="163" t="s">
        <v>29</v>
      </c>
      <c r="AD69" s="163" t="s">
        <v>29</v>
      </c>
      <c r="AE69" s="163" t="s">
        <v>29</v>
      </c>
      <c r="AF69" s="163" t="s">
        <v>29</v>
      </c>
      <c r="AG69" s="161"/>
      <c r="AH69" s="161"/>
      <c r="AI69" s="162"/>
      <c r="AJ69" s="163" t="s">
        <v>28</v>
      </c>
      <c r="AK69" s="163" t="s">
        <v>28</v>
      </c>
      <c r="AL69" s="163" t="s">
        <v>28</v>
      </c>
      <c r="AM69" s="163" t="s">
        <v>28</v>
      </c>
      <c r="AN69" s="163"/>
      <c r="AO69" s="16" t="e">
        <f>COUNTIF(#REF!,"D12")</f>
        <v>#REF!</v>
      </c>
      <c r="AP69" s="17" t="e">
        <f>COUNTIF(#REF!,"N12")</f>
        <v>#REF!</v>
      </c>
      <c r="AQ69" s="18" t="e">
        <f>COUNTBLANK(#REF!)</f>
        <v>#REF!</v>
      </c>
      <c r="AR69" s="338">
        <v>0.25</v>
      </c>
      <c r="AS69" s="339"/>
      <c r="AT69" s="338">
        <v>0.75</v>
      </c>
      <c r="AU69" s="339"/>
      <c r="AV69" s="339"/>
      <c r="AW69" s="4"/>
    </row>
    <row r="70" spans="1:49" x14ac:dyDescent="0.25">
      <c r="F70" s="218">
        <v>1000396531</v>
      </c>
      <c r="G70" s="221" t="s">
        <v>101</v>
      </c>
      <c r="H70" s="15">
        <v>2026</v>
      </c>
      <c r="I70" s="15" t="s">
        <v>163</v>
      </c>
      <c r="J70" s="166" t="s">
        <v>29</v>
      </c>
      <c r="K70" s="163" t="s">
        <v>29</v>
      </c>
      <c r="L70" s="161"/>
      <c r="M70" s="161"/>
      <c r="N70" s="162"/>
      <c r="O70" s="166" t="s">
        <v>28</v>
      </c>
      <c r="P70" s="166" t="s">
        <v>28</v>
      </c>
      <c r="Q70" s="166" t="s">
        <v>28</v>
      </c>
      <c r="R70" s="166" t="s">
        <v>28</v>
      </c>
      <c r="S70" s="166" t="s">
        <v>28</v>
      </c>
      <c r="T70" s="166" t="s">
        <v>28</v>
      </c>
      <c r="U70" s="167" t="s">
        <v>29</v>
      </c>
      <c r="V70" s="167" t="s">
        <v>29</v>
      </c>
      <c r="W70" s="167" t="s">
        <v>29</v>
      </c>
      <c r="X70" s="167" t="s">
        <v>29</v>
      </c>
      <c r="Y70" s="167" t="s">
        <v>29</v>
      </c>
      <c r="Z70" s="166" t="s">
        <v>29</v>
      </c>
      <c r="AA70" s="164"/>
      <c r="AB70" s="164"/>
      <c r="AC70" s="165"/>
      <c r="AD70" s="166" t="s">
        <v>28</v>
      </c>
      <c r="AE70" s="166" t="s">
        <v>28</v>
      </c>
      <c r="AF70" s="166" t="s">
        <v>28</v>
      </c>
      <c r="AG70" s="166" t="s">
        <v>28</v>
      </c>
      <c r="AH70" s="166" t="s">
        <v>28</v>
      </c>
      <c r="AI70" s="166" t="s">
        <v>28</v>
      </c>
      <c r="AJ70" s="167" t="s">
        <v>29</v>
      </c>
      <c r="AK70" s="167" t="s">
        <v>29</v>
      </c>
      <c r="AL70" s="167" t="s">
        <v>29</v>
      </c>
      <c r="AM70" s="166" t="s">
        <v>28</v>
      </c>
      <c r="AN70" s="166"/>
      <c r="AO70" s="17">
        <f>COUNTIF(Tabla110[[#This Row],[1L]:[Columna1]],"D12")</f>
        <v>13</v>
      </c>
      <c r="AP70" s="17">
        <f>COUNTIF(Tabla110[[#This Row],[1L]:[Columna1]],"N12")</f>
        <v>11</v>
      </c>
      <c r="AQ70" s="18">
        <f>COUNTBLANK(Tabla110[[#This Row],[1L]:[Columna1]])</f>
        <v>7</v>
      </c>
      <c r="AR70" s="19"/>
      <c r="AS70" s="22"/>
      <c r="AT70" s="19"/>
      <c r="AU70" s="23"/>
      <c r="AV70" s="22"/>
      <c r="AW70" s="4"/>
    </row>
    <row r="71" spans="1:49" x14ac:dyDescent="0.25">
      <c r="F71" s="219">
        <v>42709476</v>
      </c>
      <c r="G71" s="216" t="s">
        <v>64</v>
      </c>
      <c r="H71" s="15">
        <v>2026</v>
      </c>
      <c r="I71" s="15" t="s">
        <v>163</v>
      </c>
      <c r="J71" s="166" t="s">
        <v>28</v>
      </c>
      <c r="K71" s="163" t="s">
        <v>28</v>
      </c>
      <c r="L71" s="163" t="s">
        <v>28</v>
      </c>
      <c r="M71" s="163" t="s">
        <v>28</v>
      </c>
      <c r="N71" s="166" t="s">
        <v>28</v>
      </c>
      <c r="O71" s="166" t="s">
        <v>29</v>
      </c>
      <c r="P71" s="166" t="s">
        <v>29</v>
      </c>
      <c r="Q71" s="166" t="s">
        <v>29</v>
      </c>
      <c r="R71" s="166" t="s">
        <v>29</v>
      </c>
      <c r="S71" s="166" t="s">
        <v>29</v>
      </c>
      <c r="T71" s="166" t="s">
        <v>29</v>
      </c>
      <c r="U71" s="164"/>
      <c r="V71" s="164"/>
      <c r="W71" s="165"/>
      <c r="X71" s="166" t="s">
        <v>28</v>
      </c>
      <c r="Y71" s="166" t="s">
        <v>28</v>
      </c>
      <c r="Z71" s="166" t="s">
        <v>28</v>
      </c>
      <c r="AA71" s="166" t="s">
        <v>28</v>
      </c>
      <c r="AB71" s="166" t="s">
        <v>28</v>
      </c>
      <c r="AC71" s="166" t="s">
        <v>28</v>
      </c>
      <c r="AD71" s="166" t="s">
        <v>29</v>
      </c>
      <c r="AE71" s="166" t="s">
        <v>29</v>
      </c>
      <c r="AF71" s="166" t="s">
        <v>29</v>
      </c>
      <c r="AG71" s="166" t="s">
        <v>29</v>
      </c>
      <c r="AH71" s="166" t="s">
        <v>29</v>
      </c>
      <c r="AI71" s="166" t="s">
        <v>29</v>
      </c>
      <c r="AJ71" s="164"/>
      <c r="AK71" s="164"/>
      <c r="AL71" s="165"/>
      <c r="AM71" s="166" t="s">
        <v>28</v>
      </c>
      <c r="AN71" s="166"/>
      <c r="AO71" s="17" t="e">
        <f>COUNTIF(#REF!,"D12")</f>
        <v>#REF!</v>
      </c>
      <c r="AP71" s="17" t="e">
        <f>COUNTIF(#REF!,"N12")</f>
        <v>#REF!</v>
      </c>
      <c r="AQ71" s="18" t="e">
        <f>COUNTBLANK(#REF!)</f>
        <v>#REF!</v>
      </c>
      <c r="AR71" s="19"/>
      <c r="AS71" s="20"/>
      <c r="AT71" s="19"/>
      <c r="AU71" s="21"/>
      <c r="AV71" s="20"/>
      <c r="AW71" s="4"/>
    </row>
    <row r="72" spans="1:49" x14ac:dyDescent="0.25">
      <c r="F72" s="217">
        <v>71370166</v>
      </c>
      <c r="G72" s="217" t="s">
        <v>88</v>
      </c>
      <c r="H72" s="15">
        <v>2026</v>
      </c>
      <c r="I72" s="15" t="s">
        <v>163</v>
      </c>
      <c r="J72" s="166" t="s">
        <v>29</v>
      </c>
      <c r="K72" s="166" t="s">
        <v>29</v>
      </c>
      <c r="L72" s="166" t="s">
        <v>29</v>
      </c>
      <c r="M72" s="166" t="s">
        <v>29</v>
      </c>
      <c r="N72" s="166" t="s">
        <v>29</v>
      </c>
      <c r="O72" s="164"/>
      <c r="P72" s="164"/>
      <c r="Q72" s="165"/>
      <c r="R72" s="166" t="s">
        <v>28</v>
      </c>
      <c r="S72" s="166" t="s">
        <v>28</v>
      </c>
      <c r="T72" s="166" t="s">
        <v>28</v>
      </c>
      <c r="U72" s="166" t="s">
        <v>28</v>
      </c>
      <c r="V72" s="166" t="s">
        <v>28</v>
      </c>
      <c r="W72" s="166" t="s">
        <v>28</v>
      </c>
      <c r="X72" s="166" t="s">
        <v>29</v>
      </c>
      <c r="Y72" s="166" t="s">
        <v>29</v>
      </c>
      <c r="Z72" s="166" t="s">
        <v>29</v>
      </c>
      <c r="AA72" s="166" t="s">
        <v>29</v>
      </c>
      <c r="AB72" s="166" t="s">
        <v>29</v>
      </c>
      <c r="AC72" s="166" t="s">
        <v>29</v>
      </c>
      <c r="AD72" s="164"/>
      <c r="AE72" s="164"/>
      <c r="AF72" s="165"/>
      <c r="AG72" s="166" t="s">
        <v>28</v>
      </c>
      <c r="AH72" s="166" t="s">
        <v>28</v>
      </c>
      <c r="AI72" s="166" t="s">
        <v>28</v>
      </c>
      <c r="AJ72" s="166" t="s">
        <v>28</v>
      </c>
      <c r="AK72" s="166" t="s">
        <v>28</v>
      </c>
      <c r="AL72" s="166" t="s">
        <v>28</v>
      </c>
      <c r="AM72" s="166" t="s">
        <v>29</v>
      </c>
      <c r="AN72" s="166"/>
      <c r="AO72" s="17" t="e">
        <f>COUNTIF(#REF!,"D12")</f>
        <v>#REF!</v>
      </c>
      <c r="AP72" s="17" t="e">
        <f>COUNTIF(#REF!,"N12")</f>
        <v>#REF!</v>
      </c>
      <c r="AQ72" s="18" t="e">
        <f>COUNTBLANK(#REF!)</f>
        <v>#REF!</v>
      </c>
      <c r="AR72" s="338"/>
      <c r="AS72" s="339"/>
      <c r="AT72" s="338"/>
      <c r="AU72" s="339"/>
      <c r="AV72" s="339"/>
      <c r="AW72" s="4"/>
    </row>
    <row r="73" spans="1:49" x14ac:dyDescent="0.25">
      <c r="F73" s="205">
        <v>1102815009</v>
      </c>
      <c r="G73" s="205" t="s">
        <v>102</v>
      </c>
      <c r="H73" s="15">
        <v>2026</v>
      </c>
      <c r="I73" s="15" t="s">
        <v>163</v>
      </c>
      <c r="J73" s="164"/>
      <c r="K73" s="165"/>
      <c r="L73" s="166" t="s">
        <v>28</v>
      </c>
      <c r="M73" s="166" t="s">
        <v>28</v>
      </c>
      <c r="N73" s="166" t="s">
        <v>28</v>
      </c>
      <c r="O73" s="166" t="s">
        <v>28</v>
      </c>
      <c r="P73" s="166" t="s">
        <v>28</v>
      </c>
      <c r="Q73" s="166" t="s">
        <v>28</v>
      </c>
      <c r="R73" s="166" t="s">
        <v>29</v>
      </c>
      <c r="S73" s="166" t="s">
        <v>29</v>
      </c>
      <c r="T73" s="166" t="s">
        <v>29</v>
      </c>
      <c r="U73" s="166" t="s">
        <v>29</v>
      </c>
      <c r="V73" s="167" t="s">
        <v>29</v>
      </c>
      <c r="W73" s="167" t="s">
        <v>29</v>
      </c>
      <c r="X73" s="164"/>
      <c r="Y73" s="164"/>
      <c r="Z73" s="165"/>
      <c r="AA73" s="166" t="s">
        <v>28</v>
      </c>
      <c r="AB73" s="166" t="s">
        <v>28</v>
      </c>
      <c r="AC73" s="166" t="s">
        <v>28</v>
      </c>
      <c r="AD73" s="167" t="s">
        <v>28</v>
      </c>
      <c r="AE73" s="167" t="s">
        <v>28</v>
      </c>
      <c r="AF73" s="167" t="s">
        <v>28</v>
      </c>
      <c r="AG73" s="167" t="s">
        <v>29</v>
      </c>
      <c r="AH73" s="167" t="s">
        <v>29</v>
      </c>
      <c r="AI73" s="166" t="s">
        <v>29</v>
      </c>
      <c r="AJ73" s="167" t="s">
        <v>29</v>
      </c>
      <c r="AK73" s="167" t="s">
        <v>29</v>
      </c>
      <c r="AL73" s="167" t="s">
        <v>29</v>
      </c>
      <c r="AM73" s="164"/>
      <c r="AN73" s="166"/>
      <c r="AO73" s="17">
        <f>COUNTIF(Tabla110[[#This Row],[1L]:[Columna1]],"D12")</f>
        <v>12</v>
      </c>
      <c r="AP73" s="17">
        <f>COUNTIF(Tabla110[[#This Row],[1L]:[Columna1]],"N12")</f>
        <v>12</v>
      </c>
      <c r="AQ73" s="27">
        <f>COUNTBLANK(Tabla110[[#This Row],[1L]:[Columna1]])</f>
        <v>7</v>
      </c>
      <c r="AR73" s="28"/>
      <c r="AS73" s="29"/>
      <c r="AT73" s="28"/>
      <c r="AU73" s="29"/>
      <c r="AV73" s="29"/>
      <c r="AW73" s="4"/>
    </row>
    <row r="74" spans="1:49" x14ac:dyDescent="0.25">
      <c r="F74" s="13"/>
      <c r="G74" s="14"/>
      <c r="H74" s="15">
        <v>2026</v>
      </c>
      <c r="I74" s="15" t="s">
        <v>163</v>
      </c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85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8"/>
      <c r="AL74" s="197"/>
      <c r="AM74" s="197"/>
      <c r="AN74" s="197"/>
      <c r="AO74" s="17">
        <f>COUNTIF(Tabla110[[#This Row],[1L]:[Columna1]],"D12")</f>
        <v>0</v>
      </c>
      <c r="AP74" s="17">
        <f>COUNTIF(Tabla110[[#This Row],[1L]:[Columna1]],"N12")</f>
        <v>0</v>
      </c>
      <c r="AQ74" s="27">
        <f>COUNTBLANK(Tabla110[[#This Row],[1L]:[Columna1]])</f>
        <v>31</v>
      </c>
      <c r="AR74" s="4"/>
      <c r="AS74" s="4"/>
      <c r="AT74" s="4"/>
      <c r="AU74" s="4"/>
      <c r="AV74" s="4"/>
      <c r="AW74" s="4"/>
    </row>
    <row r="75" spans="1:49" ht="18.75" x14ac:dyDescent="0.25">
      <c r="F75" s="32"/>
      <c r="G75" s="1"/>
      <c r="H75" s="15">
        <v>2026</v>
      </c>
      <c r="I75" s="15" t="s">
        <v>163</v>
      </c>
      <c r="J75" s="152">
        <f t="shared" ref="J75:AN75" si="4">COUNTIF(J69:J74,"D12")</f>
        <v>2</v>
      </c>
      <c r="K75" s="152">
        <f t="shared" si="4"/>
        <v>2</v>
      </c>
      <c r="L75" s="152">
        <f t="shared" si="4"/>
        <v>2</v>
      </c>
      <c r="M75" s="152">
        <f t="shared" si="4"/>
        <v>2</v>
      </c>
      <c r="N75" s="152">
        <f t="shared" si="4"/>
        <v>2</v>
      </c>
      <c r="O75" s="152">
        <f t="shared" si="4"/>
        <v>2</v>
      </c>
      <c r="P75" s="152">
        <f t="shared" si="4"/>
        <v>2</v>
      </c>
      <c r="Q75" s="152">
        <f t="shared" si="4"/>
        <v>2</v>
      </c>
      <c r="R75" s="152">
        <f t="shared" si="4"/>
        <v>2</v>
      </c>
      <c r="S75" s="152">
        <f t="shared" si="4"/>
        <v>2</v>
      </c>
      <c r="T75" s="152">
        <f t="shared" si="4"/>
        <v>2</v>
      </c>
      <c r="U75" s="152">
        <f t="shared" si="4"/>
        <v>2</v>
      </c>
      <c r="V75" s="152">
        <f t="shared" si="4"/>
        <v>2</v>
      </c>
      <c r="W75" s="152">
        <f t="shared" si="4"/>
        <v>2</v>
      </c>
      <c r="X75" s="152">
        <f t="shared" si="4"/>
        <v>2</v>
      </c>
      <c r="Y75" s="152">
        <f t="shared" si="4"/>
        <v>2</v>
      </c>
      <c r="Z75" s="152">
        <f t="shared" si="4"/>
        <v>2</v>
      </c>
      <c r="AA75" s="152">
        <f t="shared" si="4"/>
        <v>2</v>
      </c>
      <c r="AB75" s="152">
        <f t="shared" si="4"/>
        <v>2</v>
      </c>
      <c r="AC75" s="152">
        <f t="shared" si="4"/>
        <v>2</v>
      </c>
      <c r="AD75" s="152">
        <f t="shared" si="4"/>
        <v>2</v>
      </c>
      <c r="AE75" s="152">
        <f t="shared" si="4"/>
        <v>2</v>
      </c>
      <c r="AF75" s="152">
        <f t="shared" si="4"/>
        <v>2</v>
      </c>
      <c r="AG75" s="152">
        <f t="shared" si="4"/>
        <v>2</v>
      </c>
      <c r="AH75" s="152">
        <f t="shared" si="4"/>
        <v>2</v>
      </c>
      <c r="AI75" s="152">
        <f t="shared" si="4"/>
        <v>2</v>
      </c>
      <c r="AJ75" s="152">
        <f t="shared" si="4"/>
        <v>2</v>
      </c>
      <c r="AK75" s="152">
        <f t="shared" si="4"/>
        <v>2</v>
      </c>
      <c r="AL75" s="152">
        <f t="shared" si="4"/>
        <v>2</v>
      </c>
      <c r="AM75" s="152">
        <f t="shared" si="4"/>
        <v>3</v>
      </c>
      <c r="AN75" s="152">
        <f t="shared" si="4"/>
        <v>0</v>
      </c>
      <c r="AO75" s="33"/>
      <c r="AP75" s="33"/>
      <c r="AQ75" s="34"/>
      <c r="AR75" s="4"/>
      <c r="AS75" s="4"/>
      <c r="AT75" s="4"/>
      <c r="AU75" s="4"/>
      <c r="AV75" s="4"/>
      <c r="AW75" s="4"/>
    </row>
    <row r="76" spans="1:49" ht="18.75" x14ac:dyDescent="0.25">
      <c r="F76" s="35"/>
      <c r="G76" s="36"/>
      <c r="H76" s="15">
        <v>2026</v>
      </c>
      <c r="I76" s="15" t="s">
        <v>163</v>
      </c>
      <c r="J76" s="153">
        <f t="shared" ref="J76:AN76" si="5">COUNTIF(J69:J74,"N12")</f>
        <v>2</v>
      </c>
      <c r="K76" s="153">
        <f t="shared" si="5"/>
        <v>2</v>
      </c>
      <c r="L76" s="153">
        <f t="shared" si="5"/>
        <v>2</v>
      </c>
      <c r="M76" s="153">
        <f t="shared" si="5"/>
        <v>2</v>
      </c>
      <c r="N76" s="153">
        <f t="shared" si="5"/>
        <v>2</v>
      </c>
      <c r="O76" s="153">
        <f t="shared" si="5"/>
        <v>2</v>
      </c>
      <c r="P76" s="153">
        <f t="shared" si="5"/>
        <v>2</v>
      </c>
      <c r="Q76" s="153">
        <f t="shared" si="5"/>
        <v>2</v>
      </c>
      <c r="R76" s="153">
        <f t="shared" si="5"/>
        <v>2</v>
      </c>
      <c r="S76" s="153">
        <f t="shared" si="5"/>
        <v>2</v>
      </c>
      <c r="T76" s="153">
        <f t="shared" si="5"/>
        <v>2</v>
      </c>
      <c r="U76" s="153">
        <f t="shared" si="5"/>
        <v>2</v>
      </c>
      <c r="V76" s="153">
        <f t="shared" si="5"/>
        <v>2</v>
      </c>
      <c r="W76" s="153">
        <f t="shared" si="5"/>
        <v>2</v>
      </c>
      <c r="X76" s="153">
        <f t="shared" si="5"/>
        <v>2</v>
      </c>
      <c r="Y76" s="153">
        <f t="shared" si="5"/>
        <v>2</v>
      </c>
      <c r="Z76" s="153">
        <f t="shared" si="5"/>
        <v>2</v>
      </c>
      <c r="AA76" s="153">
        <f t="shared" si="5"/>
        <v>2</v>
      </c>
      <c r="AB76" s="153">
        <f t="shared" si="5"/>
        <v>2</v>
      </c>
      <c r="AC76" s="153">
        <f t="shared" si="5"/>
        <v>2</v>
      </c>
      <c r="AD76" s="153">
        <f t="shared" si="5"/>
        <v>2</v>
      </c>
      <c r="AE76" s="153">
        <f t="shared" si="5"/>
        <v>2</v>
      </c>
      <c r="AF76" s="153">
        <f t="shared" si="5"/>
        <v>2</v>
      </c>
      <c r="AG76" s="153">
        <f t="shared" si="5"/>
        <v>2</v>
      </c>
      <c r="AH76" s="153">
        <f t="shared" si="5"/>
        <v>2</v>
      </c>
      <c r="AI76" s="153">
        <f t="shared" si="5"/>
        <v>2</v>
      </c>
      <c r="AJ76" s="153">
        <f t="shared" si="5"/>
        <v>2</v>
      </c>
      <c r="AK76" s="153">
        <f t="shared" si="5"/>
        <v>2</v>
      </c>
      <c r="AL76" s="153">
        <f t="shared" si="5"/>
        <v>2</v>
      </c>
      <c r="AM76" s="153">
        <f t="shared" si="5"/>
        <v>1</v>
      </c>
      <c r="AN76" s="153">
        <f t="shared" si="5"/>
        <v>0</v>
      </c>
      <c r="AO76" s="38"/>
      <c r="AP76" s="38"/>
      <c r="AQ76" s="34"/>
      <c r="AR76" s="4"/>
      <c r="AS76" s="4"/>
      <c r="AT76" s="4"/>
      <c r="AU76" s="4"/>
      <c r="AV76" s="4"/>
      <c r="AW76" s="4"/>
    </row>
    <row r="77" spans="1:49" s="39" customFormat="1" ht="15" customHeight="1" x14ac:dyDescent="0.25">
      <c r="F77" s="51"/>
      <c r="G77" s="51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3"/>
      <c r="AJ77" s="53"/>
      <c r="AK77" s="53"/>
      <c r="AL77" s="53"/>
      <c r="AM77" s="53"/>
      <c r="AN77" s="53"/>
      <c r="AO77" s="54"/>
      <c r="AP77" s="54"/>
      <c r="AQ77" s="54"/>
    </row>
    <row r="78" spans="1:49" s="39" customFormat="1" ht="15" customHeight="1" x14ac:dyDescent="0.25">
      <c r="F78" s="51"/>
      <c r="G78" s="51"/>
      <c r="H78" s="301" t="s">
        <v>36</v>
      </c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3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53"/>
      <c r="AO78" s="54"/>
      <c r="AP78" s="54"/>
      <c r="AQ78" s="54"/>
    </row>
    <row r="79" spans="1:49" s="39" customFormat="1" ht="15" customHeight="1" x14ac:dyDescent="0.25">
      <c r="F79" s="51"/>
      <c r="G79" s="51"/>
      <c r="H79" s="304" t="s">
        <v>37</v>
      </c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6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53"/>
      <c r="AO79" s="54"/>
      <c r="AP79" s="54"/>
      <c r="AQ79" s="54"/>
    </row>
    <row r="80" spans="1:49" s="39" customFormat="1" ht="15" customHeight="1" x14ac:dyDescent="0.25">
      <c r="F80" s="51"/>
      <c r="G80" s="51"/>
      <c r="H80" s="304" t="s">
        <v>38</v>
      </c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6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53"/>
      <c r="AO80" s="54"/>
      <c r="AP80" s="54"/>
      <c r="AQ80" s="54"/>
    </row>
    <row r="81" spans="2:49" s="39" customFormat="1" ht="15" customHeight="1" x14ac:dyDescent="0.25">
      <c r="F81" s="51"/>
      <c r="G81" s="5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53"/>
      <c r="AO81" s="54"/>
      <c r="AP81" s="54"/>
      <c r="AQ81" s="54"/>
    </row>
    <row r="82" spans="2:49" s="45" customFormat="1" ht="15" customHeight="1" x14ac:dyDescent="0.25">
      <c r="F82" s="66"/>
      <c r="G82" s="66"/>
      <c r="H82" s="42"/>
      <c r="I82" s="346" t="s">
        <v>39</v>
      </c>
      <c r="J82" s="347"/>
      <c r="K82" s="347"/>
      <c r="L82" s="348"/>
      <c r="M82" s="43"/>
      <c r="N82" s="346" t="s">
        <v>40</v>
      </c>
      <c r="O82" s="347"/>
      <c r="P82" s="347"/>
      <c r="Q82" s="347"/>
      <c r="R82" s="348"/>
      <c r="S82" s="334" t="s">
        <v>13</v>
      </c>
      <c r="T82" s="334"/>
      <c r="U82" s="334" t="s">
        <v>14</v>
      </c>
      <c r="V82" s="334"/>
      <c r="W82" s="334"/>
      <c r="X82" s="1"/>
      <c r="Y82" s="1"/>
      <c r="Z82" s="1"/>
      <c r="AA82" s="1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67"/>
      <c r="AO82" s="68"/>
      <c r="AP82" s="68"/>
      <c r="AQ82" s="68"/>
    </row>
    <row r="83" spans="2:49" s="39" customFormat="1" ht="15" customHeight="1" x14ac:dyDescent="0.25">
      <c r="F83" s="51"/>
      <c r="G83" s="51"/>
      <c r="H83" s="46" t="s">
        <v>32</v>
      </c>
      <c r="I83" s="279" t="s">
        <v>41</v>
      </c>
      <c r="J83" s="280"/>
      <c r="K83" s="280"/>
      <c r="L83" s="281"/>
      <c r="M83" s="47" t="s">
        <v>42</v>
      </c>
      <c r="N83" s="279" t="s">
        <v>43</v>
      </c>
      <c r="O83" s="280"/>
      <c r="P83" s="280"/>
      <c r="Q83" s="280"/>
      <c r="R83" s="281"/>
      <c r="S83" s="276">
        <v>0.70833333333333337</v>
      </c>
      <c r="T83" s="282"/>
      <c r="U83" s="19"/>
      <c r="V83" s="21">
        <v>0.20833333333333334</v>
      </c>
      <c r="W83" s="22"/>
      <c r="X83" s="1"/>
      <c r="Y83" s="1"/>
      <c r="Z83" s="1"/>
      <c r="AA83" s="1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53"/>
      <c r="AO83" s="54"/>
      <c r="AP83" s="54"/>
      <c r="AQ83" s="54"/>
    </row>
    <row r="84" spans="2:49" s="39" customFormat="1" ht="15" customHeight="1" x14ac:dyDescent="0.25">
      <c r="F84" s="51"/>
      <c r="G84" s="51"/>
      <c r="H84" s="48" t="s">
        <v>44</v>
      </c>
      <c r="I84" s="279" t="s">
        <v>45</v>
      </c>
      <c r="J84" s="280"/>
      <c r="K84" s="280"/>
      <c r="L84" s="281"/>
      <c r="M84" s="49" t="s">
        <v>46</v>
      </c>
      <c r="N84" s="279" t="s">
        <v>47</v>
      </c>
      <c r="O84" s="280"/>
      <c r="P84" s="280"/>
      <c r="Q84" s="280"/>
      <c r="R84" s="281"/>
      <c r="S84" s="276">
        <v>0.20833333333333334</v>
      </c>
      <c r="T84" s="282"/>
      <c r="U84" s="19"/>
      <c r="V84" s="21">
        <v>0.70833333333333337</v>
      </c>
      <c r="W84" s="22"/>
      <c r="X84" s="1"/>
      <c r="Y84" s="1"/>
      <c r="Z84" s="1"/>
      <c r="AA84" s="1"/>
      <c r="AB84" s="52"/>
      <c r="AC84" s="52"/>
      <c r="AD84" s="52"/>
      <c r="AE84" s="52"/>
      <c r="AF84" s="52"/>
      <c r="AG84" s="52"/>
      <c r="AH84" s="52"/>
      <c r="AI84" s="53"/>
      <c r="AJ84" s="53"/>
      <c r="AK84" s="53"/>
      <c r="AL84" s="53"/>
      <c r="AM84" s="53"/>
      <c r="AN84" s="53"/>
      <c r="AO84" s="54"/>
      <c r="AP84" s="54"/>
      <c r="AQ84" s="54"/>
    </row>
    <row r="85" spans="2:49" s="39" customFormat="1" ht="15" customHeight="1" x14ac:dyDescent="0.25">
      <c r="F85" s="51"/>
      <c r="G85" s="51"/>
      <c r="H85" s="1" t="s">
        <v>48</v>
      </c>
      <c r="I85" s="279" t="s">
        <v>49</v>
      </c>
      <c r="J85" s="280"/>
      <c r="K85" s="280"/>
      <c r="L85" s="281"/>
      <c r="M85" s="39" t="s">
        <v>50</v>
      </c>
      <c r="N85" s="279" t="s">
        <v>51</v>
      </c>
      <c r="O85" s="280"/>
      <c r="P85" s="280"/>
      <c r="Q85" s="280"/>
      <c r="R85" s="281"/>
      <c r="S85" s="335" t="s">
        <v>65</v>
      </c>
      <c r="T85" s="337"/>
      <c r="U85" s="335">
        <v>0.75</v>
      </c>
      <c r="V85" s="336"/>
      <c r="W85" s="337"/>
      <c r="X85" s="1"/>
      <c r="Y85" s="1"/>
      <c r="Z85" s="1"/>
      <c r="AA85" s="1"/>
      <c r="AB85" s="52"/>
      <c r="AC85" s="52"/>
      <c r="AD85" s="52"/>
      <c r="AE85" s="52"/>
      <c r="AF85" s="52"/>
      <c r="AG85" s="52"/>
      <c r="AH85" s="52"/>
      <c r="AI85" s="53"/>
      <c r="AJ85" s="53"/>
      <c r="AK85" s="53"/>
      <c r="AL85" s="53"/>
      <c r="AM85" s="53"/>
      <c r="AN85" s="53"/>
      <c r="AO85" s="54"/>
      <c r="AP85" s="54"/>
      <c r="AQ85" s="54"/>
    </row>
    <row r="86" spans="2:49" s="39" customFormat="1" ht="15" customHeight="1" x14ac:dyDescent="0.25">
      <c r="F86" s="51"/>
      <c r="G86" s="51"/>
      <c r="H86" s="1" t="s">
        <v>29</v>
      </c>
      <c r="I86" s="279" t="s">
        <v>52</v>
      </c>
      <c r="J86" s="280"/>
      <c r="K86" s="280"/>
      <c r="L86" s="281"/>
      <c r="M86" s="1" t="s">
        <v>53</v>
      </c>
      <c r="N86" s="279" t="s">
        <v>54</v>
      </c>
      <c r="O86" s="280"/>
      <c r="P86" s="280"/>
      <c r="Q86" s="280"/>
      <c r="R86" s="281"/>
      <c r="S86" s="328">
        <v>0.75</v>
      </c>
      <c r="T86" s="330"/>
      <c r="U86" s="328">
        <v>0.25</v>
      </c>
      <c r="V86" s="329"/>
      <c r="W86" s="330"/>
      <c r="X86" s="1"/>
      <c r="Y86" s="1"/>
      <c r="Z86" s="1"/>
      <c r="AA86" s="1"/>
      <c r="AB86" s="52"/>
      <c r="AC86" s="52"/>
      <c r="AD86" s="52"/>
      <c r="AE86" s="52"/>
      <c r="AF86" s="52"/>
      <c r="AG86" s="52"/>
      <c r="AH86" s="52"/>
      <c r="AI86" s="53"/>
      <c r="AJ86" s="53"/>
      <c r="AK86" s="53"/>
      <c r="AL86" s="53"/>
      <c r="AM86" s="53"/>
      <c r="AN86" s="53"/>
      <c r="AO86" s="54"/>
      <c r="AP86" s="54"/>
      <c r="AQ86" s="54"/>
    </row>
    <row r="87" spans="2:49" s="73" customFormat="1" ht="15" customHeight="1" x14ac:dyDescent="0.25">
      <c r="F87" s="69"/>
      <c r="G87" s="69"/>
      <c r="H87" s="36" t="s">
        <v>28</v>
      </c>
      <c r="I87" s="331" t="s">
        <v>55</v>
      </c>
      <c r="J87" s="332"/>
      <c r="K87" s="332"/>
      <c r="L87" s="333"/>
      <c r="M87" s="36" t="s">
        <v>31</v>
      </c>
      <c r="N87" s="331" t="s">
        <v>56</v>
      </c>
      <c r="O87" s="332"/>
      <c r="P87" s="332"/>
      <c r="Q87" s="332"/>
      <c r="R87" s="333"/>
      <c r="S87" s="19"/>
      <c r="T87" s="22"/>
      <c r="U87" s="19"/>
      <c r="V87" s="23"/>
      <c r="W87" s="22"/>
      <c r="X87" s="1"/>
      <c r="Y87" s="1"/>
      <c r="Z87" s="1"/>
      <c r="AA87" s="1"/>
      <c r="AB87" s="70"/>
      <c r="AC87" s="70"/>
      <c r="AD87" s="70"/>
      <c r="AE87" s="70"/>
      <c r="AF87" s="70"/>
      <c r="AG87" s="70"/>
      <c r="AH87" s="70"/>
      <c r="AI87" s="71"/>
      <c r="AJ87" s="71"/>
      <c r="AK87" s="71"/>
      <c r="AL87" s="71"/>
      <c r="AM87" s="71"/>
      <c r="AN87" s="71"/>
      <c r="AO87" s="72"/>
      <c r="AP87" s="72"/>
      <c r="AQ87" s="72"/>
    </row>
    <row r="88" spans="2:49" s="39" customFormat="1" ht="15" customHeight="1" x14ac:dyDescent="0.25">
      <c r="F88" s="51"/>
      <c r="G88" s="51"/>
      <c r="H88" s="1"/>
      <c r="I88" s="74"/>
      <c r="J88" s="74"/>
      <c r="K88" s="74"/>
      <c r="L88" s="74"/>
      <c r="M88" s="1"/>
      <c r="N88" s="74"/>
      <c r="O88" s="74"/>
      <c r="P88" s="74"/>
      <c r="Q88" s="74"/>
      <c r="R88" s="74"/>
      <c r="S88" s="1"/>
      <c r="T88" s="1"/>
      <c r="U88" s="1"/>
      <c r="V88" s="1"/>
      <c r="W88" s="1"/>
      <c r="X88" s="1"/>
      <c r="Y88" s="1"/>
      <c r="Z88" s="1"/>
      <c r="AA88" s="1"/>
      <c r="AB88" s="52"/>
      <c r="AC88" s="52"/>
      <c r="AD88" s="52"/>
      <c r="AE88" s="52"/>
      <c r="AF88" s="52"/>
      <c r="AG88" s="52"/>
      <c r="AH88" s="52"/>
      <c r="AI88" s="53"/>
      <c r="AJ88" s="53"/>
      <c r="AK88" s="53"/>
      <c r="AL88" s="53"/>
      <c r="AM88" s="53"/>
      <c r="AN88" s="53"/>
      <c r="AO88" s="54"/>
      <c r="AP88" s="54"/>
      <c r="AQ88" s="54"/>
    </row>
    <row r="89" spans="2:49" s="39" customFormat="1" ht="15" customHeight="1" x14ac:dyDescent="0.25">
      <c r="F89" s="51"/>
      <c r="G89" s="51"/>
      <c r="H89" s="1"/>
      <c r="I89" s="74"/>
      <c r="J89" s="74"/>
      <c r="K89" s="74"/>
      <c r="L89" s="74"/>
      <c r="M89" s="1"/>
      <c r="N89" s="74"/>
      <c r="O89" s="74"/>
      <c r="P89" s="74"/>
      <c r="Q89" s="74"/>
      <c r="R89" s="74"/>
      <c r="S89" s="1"/>
      <c r="T89" s="1"/>
      <c r="U89" s="1"/>
      <c r="V89" s="1"/>
      <c r="W89" s="1"/>
      <c r="X89" s="1"/>
      <c r="Y89" s="1"/>
      <c r="Z89" s="1"/>
      <c r="AA89" s="1"/>
      <c r="AB89" s="52"/>
      <c r="AC89" s="52"/>
      <c r="AD89" s="52"/>
      <c r="AE89" s="52"/>
      <c r="AF89" s="52"/>
      <c r="AG89" s="52"/>
      <c r="AH89" s="52"/>
      <c r="AI89" s="53"/>
      <c r="AJ89" s="53"/>
      <c r="AK89" s="53"/>
      <c r="AL89" s="53"/>
      <c r="AM89" s="53"/>
      <c r="AN89" s="53"/>
      <c r="AO89" s="54"/>
      <c r="AP89" s="54"/>
      <c r="AQ89" s="54"/>
    </row>
    <row r="90" spans="2:49" s="39" customFormat="1" ht="15" customHeight="1" x14ac:dyDescent="0.25">
      <c r="F90" s="51"/>
      <c r="G90" s="51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3"/>
      <c r="AJ90" s="53"/>
      <c r="AK90" s="53"/>
      <c r="AL90" s="53"/>
      <c r="AM90" s="53"/>
      <c r="AN90" s="53"/>
      <c r="AO90" s="54"/>
      <c r="AP90" s="54"/>
      <c r="AQ90" s="54"/>
    </row>
    <row r="91" spans="2:49" s="45" customFormat="1" ht="15" customHeight="1" x14ac:dyDescent="0.25">
      <c r="B91" s="75"/>
      <c r="C91" s="39"/>
      <c r="D91" s="39"/>
      <c r="E91" s="39"/>
      <c r="F91" s="76"/>
      <c r="G91" s="77"/>
      <c r="H91" s="78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80"/>
      <c r="AI91" s="81"/>
      <c r="AJ91" s="82"/>
      <c r="AK91" s="82"/>
      <c r="AL91" s="82"/>
      <c r="AM91" s="82"/>
      <c r="AN91" s="82"/>
      <c r="AO91" s="68"/>
      <c r="AP91" s="68"/>
      <c r="AQ91" s="68"/>
    </row>
    <row r="92" spans="2:49" s="41" customFormat="1" ht="15" customHeight="1" x14ac:dyDescent="0.25">
      <c r="B92" s="83"/>
      <c r="C92" s="1"/>
      <c r="D92" s="1"/>
      <c r="E92" s="1"/>
      <c r="F92" s="283" t="s">
        <v>66</v>
      </c>
      <c r="G92" s="284"/>
      <c r="H92" s="309" t="s">
        <v>1</v>
      </c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10"/>
      <c r="AG92" s="310"/>
      <c r="AH92" s="311"/>
      <c r="AI92" s="315" t="s">
        <v>2</v>
      </c>
      <c r="AJ92" s="316"/>
      <c r="AK92" s="316"/>
      <c r="AL92" s="316"/>
      <c r="AM92" s="316"/>
      <c r="AN92" s="316"/>
      <c r="AO92" s="84"/>
      <c r="AP92" s="84"/>
      <c r="AQ92" s="84"/>
      <c r="AR92" s="45"/>
      <c r="AS92" s="45"/>
      <c r="AT92" s="45"/>
      <c r="AU92" s="45"/>
      <c r="AV92" s="45"/>
      <c r="AW92" s="45"/>
    </row>
    <row r="93" spans="2:49" ht="18" customHeight="1" x14ac:dyDescent="0.25">
      <c r="C93" s="1"/>
      <c r="D93" s="1"/>
      <c r="E93" s="1"/>
      <c r="F93" s="287"/>
      <c r="G93" s="288"/>
      <c r="H93" s="343"/>
      <c r="I93" s="344"/>
      <c r="J93" s="344"/>
      <c r="K93" s="344"/>
      <c r="L93" s="344"/>
      <c r="M93" s="344"/>
      <c r="N93" s="344"/>
      <c r="O93" s="344"/>
      <c r="P93" s="344"/>
      <c r="Q93" s="344"/>
      <c r="R93" s="344"/>
      <c r="S93" s="344"/>
      <c r="T93" s="344"/>
      <c r="U93" s="344"/>
      <c r="V93" s="344"/>
      <c r="W93" s="344"/>
      <c r="X93" s="344"/>
      <c r="Y93" s="344"/>
      <c r="Z93" s="344"/>
      <c r="AA93" s="344"/>
      <c r="AB93" s="344"/>
      <c r="AC93" s="344"/>
      <c r="AD93" s="344"/>
      <c r="AE93" s="344"/>
      <c r="AF93" s="344"/>
      <c r="AG93" s="344"/>
      <c r="AH93" s="345"/>
      <c r="AI93" s="350"/>
      <c r="AJ93" s="351"/>
      <c r="AK93" s="351"/>
      <c r="AL93" s="351"/>
      <c r="AM93" s="351"/>
      <c r="AN93" s="351"/>
      <c r="AO93" s="3"/>
      <c r="AP93" s="3"/>
      <c r="AQ93" s="3"/>
      <c r="AR93" s="4"/>
      <c r="AS93" s="4"/>
      <c r="AT93" s="4"/>
      <c r="AU93" s="4"/>
      <c r="AV93" s="4"/>
      <c r="AW93" s="4"/>
    </row>
    <row r="94" spans="2:49" ht="15" customHeight="1" x14ac:dyDescent="0.25">
      <c r="C94" s="1"/>
      <c r="D94" s="1"/>
      <c r="E94" s="1"/>
      <c r="F94" s="283" t="s">
        <v>67</v>
      </c>
      <c r="G94" s="284"/>
      <c r="H94" s="343"/>
      <c r="I94" s="344"/>
      <c r="J94" s="344"/>
      <c r="K94" s="344"/>
      <c r="L94" s="344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44"/>
      <c r="Y94" s="344"/>
      <c r="Z94" s="344"/>
      <c r="AA94" s="344"/>
      <c r="AB94" s="344"/>
      <c r="AC94" s="344"/>
      <c r="AD94" s="344"/>
      <c r="AE94" s="344"/>
      <c r="AF94" s="344"/>
      <c r="AG94" s="344"/>
      <c r="AH94" s="345"/>
      <c r="AI94" s="350"/>
      <c r="AJ94" s="351"/>
      <c r="AK94" s="351"/>
      <c r="AL94" s="351"/>
      <c r="AM94" s="351"/>
      <c r="AN94" s="351"/>
      <c r="AO94" s="3"/>
      <c r="AP94" s="3"/>
      <c r="AQ94" s="3"/>
      <c r="AR94" s="4"/>
      <c r="AS94" s="4"/>
      <c r="AT94" s="4"/>
      <c r="AU94" s="4"/>
      <c r="AV94" s="4"/>
      <c r="AW94" s="4"/>
    </row>
    <row r="95" spans="2:49" ht="15" customHeight="1" x14ac:dyDescent="0.25">
      <c r="C95" s="1"/>
      <c r="D95" s="1"/>
      <c r="E95" s="1"/>
      <c r="F95" s="287"/>
      <c r="G95" s="288"/>
      <c r="H95" s="312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  <c r="AA95" s="313"/>
      <c r="AB95" s="313"/>
      <c r="AC95" s="313"/>
      <c r="AD95" s="313"/>
      <c r="AE95" s="313"/>
      <c r="AF95" s="313"/>
      <c r="AG95" s="313"/>
      <c r="AH95" s="314"/>
      <c r="AI95" s="350" t="s">
        <v>5</v>
      </c>
      <c r="AJ95" s="351"/>
      <c r="AK95" s="351"/>
      <c r="AL95" s="351"/>
      <c r="AM95" s="351"/>
      <c r="AN95" s="351"/>
      <c r="AO95" s="3"/>
      <c r="AP95" s="3"/>
      <c r="AQ95" s="3"/>
      <c r="AR95" s="4"/>
      <c r="AS95" s="4"/>
      <c r="AT95" s="4"/>
      <c r="AU95" s="4"/>
      <c r="AV95" s="4"/>
      <c r="AW95" s="4"/>
    </row>
    <row r="96" spans="2:49" x14ac:dyDescent="0.25">
      <c r="C96" s="1"/>
      <c r="D96" s="1"/>
      <c r="E96" s="1"/>
      <c r="F96" s="349" t="s">
        <v>68</v>
      </c>
      <c r="G96" s="349"/>
      <c r="H96" s="307" t="s">
        <v>3</v>
      </c>
      <c r="I96" s="290"/>
      <c r="J96" s="290"/>
      <c r="K96" s="321" t="s">
        <v>4</v>
      </c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2"/>
      <c r="AI96" s="350"/>
      <c r="AJ96" s="351"/>
      <c r="AK96" s="351"/>
      <c r="AL96" s="351"/>
      <c r="AM96" s="351"/>
      <c r="AN96" s="351"/>
      <c r="AO96" s="3"/>
      <c r="AP96" s="3"/>
      <c r="AQ96" s="3"/>
      <c r="AR96" s="4"/>
      <c r="AS96" s="4"/>
      <c r="AT96" s="4"/>
      <c r="AU96" s="4"/>
      <c r="AV96" s="4"/>
      <c r="AW96" s="4"/>
    </row>
    <row r="97" spans="1:49" x14ac:dyDescent="0.25">
      <c r="C97" s="1"/>
      <c r="D97" s="1"/>
      <c r="E97" s="1"/>
      <c r="F97" s="349"/>
      <c r="G97" s="349"/>
      <c r="H97" s="5" t="s">
        <v>6</v>
      </c>
      <c r="I97" s="6"/>
      <c r="J97" s="6"/>
      <c r="K97" s="291" t="s">
        <v>7</v>
      </c>
      <c r="L97" s="291"/>
      <c r="M97" s="291"/>
      <c r="N97" s="291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4"/>
      <c r="AI97" s="318"/>
      <c r="AJ97" s="319"/>
      <c r="AK97" s="319"/>
      <c r="AL97" s="319"/>
      <c r="AM97" s="319"/>
      <c r="AN97" s="319"/>
      <c r="AO97" s="3"/>
      <c r="AP97" s="3"/>
      <c r="AQ97" s="3"/>
      <c r="AR97" s="4"/>
      <c r="AS97" s="4"/>
      <c r="AT97" s="4"/>
      <c r="AU97" s="4"/>
      <c r="AV97" s="4"/>
      <c r="AW97" s="4"/>
    </row>
    <row r="98" spans="1:49" x14ac:dyDescent="0.25">
      <c r="C98" s="1"/>
      <c r="D98" s="1"/>
      <c r="E98" s="1"/>
      <c r="F98" s="283" t="s">
        <v>118</v>
      </c>
      <c r="G98" s="284"/>
      <c r="H98" s="307" t="s">
        <v>8</v>
      </c>
      <c r="I98" s="290"/>
      <c r="J98" s="290"/>
      <c r="K98" s="291" t="s">
        <v>9</v>
      </c>
      <c r="L98" s="291"/>
      <c r="M98" s="291"/>
      <c r="N98" s="291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4"/>
      <c r="AI98" s="289" t="s">
        <v>10</v>
      </c>
      <c r="AJ98" s="289"/>
      <c r="AK98" s="289"/>
      <c r="AL98" s="289"/>
      <c r="AM98" s="289"/>
      <c r="AN98" s="289"/>
      <c r="AO98" s="3"/>
      <c r="AP98" s="3"/>
      <c r="AQ98" s="3"/>
      <c r="AR98" s="4"/>
      <c r="AS98" s="4"/>
      <c r="AT98" s="4"/>
      <c r="AU98" s="4"/>
      <c r="AV98" s="4"/>
      <c r="AW98" s="4"/>
    </row>
    <row r="99" spans="1:49" x14ac:dyDescent="0.25">
      <c r="F99" s="287"/>
      <c r="G99" s="288"/>
      <c r="H99" s="308" t="s">
        <v>11</v>
      </c>
      <c r="I99" s="293"/>
      <c r="J99" s="293"/>
      <c r="K99" s="294" t="s">
        <v>12</v>
      </c>
      <c r="L99" s="294"/>
      <c r="M99" s="294"/>
      <c r="N99" s="294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5"/>
      <c r="AB99" s="325"/>
      <c r="AC99" s="325"/>
      <c r="AD99" s="325"/>
      <c r="AE99" s="325"/>
      <c r="AF99" s="325"/>
      <c r="AG99" s="325"/>
      <c r="AH99" s="326"/>
      <c r="AI99" s="289"/>
      <c r="AJ99" s="289"/>
      <c r="AK99" s="289"/>
      <c r="AL99" s="289"/>
      <c r="AM99" s="289"/>
      <c r="AN99" s="289"/>
      <c r="AO99" s="2"/>
      <c r="AP99" s="2"/>
      <c r="AQ99" s="2"/>
      <c r="AR99" s="300" t="s">
        <v>13</v>
      </c>
      <c r="AS99" s="300"/>
      <c r="AT99" s="300" t="s">
        <v>14</v>
      </c>
      <c r="AU99" s="300"/>
      <c r="AV99" s="300"/>
      <c r="AW99" s="4"/>
    </row>
    <row r="100" spans="1:49" ht="18.75" x14ac:dyDescent="0.25">
      <c r="A100" s="7" t="s">
        <v>15</v>
      </c>
      <c r="B100" s="8" t="s">
        <v>16</v>
      </c>
      <c r="C100" s="9" t="s">
        <v>17</v>
      </c>
      <c r="D100" s="9" t="s">
        <v>18</v>
      </c>
      <c r="E100" s="9" t="s">
        <v>19</v>
      </c>
      <c r="F100" s="10" t="s">
        <v>20</v>
      </c>
      <c r="G100" s="7" t="s">
        <v>21</v>
      </c>
      <c r="H100" s="7" t="s">
        <v>22</v>
      </c>
      <c r="I100" s="7" t="s">
        <v>23</v>
      </c>
      <c r="J100" s="247" t="s">
        <v>132</v>
      </c>
      <c r="K100" s="247" t="s">
        <v>133</v>
      </c>
      <c r="L100" s="247" t="s">
        <v>134</v>
      </c>
      <c r="M100" s="247" t="s">
        <v>135</v>
      </c>
      <c r="N100" s="247" t="s">
        <v>136</v>
      </c>
      <c r="O100" s="247" t="s">
        <v>137</v>
      </c>
      <c r="P100" s="155" t="s">
        <v>138</v>
      </c>
      <c r="Q100" s="155" t="s">
        <v>139</v>
      </c>
      <c r="R100" s="247" t="s">
        <v>140</v>
      </c>
      <c r="S100" s="247" t="s">
        <v>141</v>
      </c>
      <c r="T100" s="247" t="s">
        <v>142</v>
      </c>
      <c r="U100" s="247" t="s">
        <v>143</v>
      </c>
      <c r="V100" s="247" t="s">
        <v>144</v>
      </c>
      <c r="W100" s="155" t="s">
        <v>145</v>
      </c>
      <c r="X100" s="155" t="s">
        <v>146</v>
      </c>
      <c r="Y100" s="247" t="s">
        <v>147</v>
      </c>
      <c r="Z100" s="247" t="s">
        <v>148</v>
      </c>
      <c r="AA100" s="247" t="s">
        <v>149</v>
      </c>
      <c r="AB100" s="247" t="s">
        <v>150</v>
      </c>
      <c r="AC100" s="247" t="s">
        <v>151</v>
      </c>
      <c r="AD100" s="155" t="s">
        <v>152</v>
      </c>
      <c r="AE100" s="247" t="s">
        <v>153</v>
      </c>
      <c r="AF100" s="247" t="s">
        <v>154</v>
      </c>
      <c r="AG100" s="247" t="s">
        <v>155</v>
      </c>
      <c r="AH100" s="248" t="s">
        <v>156</v>
      </c>
      <c r="AI100" s="247" t="s">
        <v>157</v>
      </c>
      <c r="AJ100" s="247" t="s">
        <v>158</v>
      </c>
      <c r="AK100" s="155" t="s">
        <v>159</v>
      </c>
      <c r="AL100" s="155" t="s">
        <v>160</v>
      </c>
      <c r="AM100" s="247" t="s">
        <v>161</v>
      </c>
      <c r="AN100" s="249" t="s">
        <v>162</v>
      </c>
      <c r="AO100" s="11" t="s">
        <v>24</v>
      </c>
      <c r="AP100" s="11" t="s">
        <v>25</v>
      </c>
      <c r="AQ100" s="11" t="s">
        <v>26</v>
      </c>
      <c r="AR100" s="340">
        <v>0.75</v>
      </c>
      <c r="AS100" s="341"/>
      <c r="AT100" s="340">
        <v>0.25</v>
      </c>
      <c r="AU100" s="342"/>
      <c r="AV100" s="341"/>
      <c r="AW100" s="9"/>
    </row>
    <row r="101" spans="1:49" x14ac:dyDescent="0.25">
      <c r="F101" s="126">
        <v>1003715555</v>
      </c>
      <c r="G101" s="212" t="s">
        <v>69</v>
      </c>
      <c r="H101" s="15">
        <v>2026</v>
      </c>
      <c r="I101" s="15" t="s">
        <v>163</v>
      </c>
      <c r="J101" s="160" t="s">
        <v>28</v>
      </c>
      <c r="K101" s="160" t="s">
        <v>28</v>
      </c>
      <c r="L101" s="160" t="s">
        <v>28</v>
      </c>
      <c r="M101" s="160" t="s">
        <v>28</v>
      </c>
      <c r="N101" s="163" t="s">
        <v>28</v>
      </c>
      <c r="O101" s="163" t="s">
        <v>28</v>
      </c>
      <c r="P101" s="163" t="s">
        <v>28</v>
      </c>
      <c r="Q101" s="163" t="s">
        <v>28</v>
      </c>
      <c r="R101" s="163" t="s">
        <v>28</v>
      </c>
      <c r="S101" s="160" t="s">
        <v>28</v>
      </c>
      <c r="T101" s="160" t="s">
        <v>28</v>
      </c>
      <c r="U101" s="161"/>
      <c r="V101" s="161"/>
      <c r="W101" s="162"/>
      <c r="X101" s="160" t="s">
        <v>28</v>
      </c>
      <c r="Y101" s="160" t="s">
        <v>28</v>
      </c>
      <c r="Z101" s="160" t="s">
        <v>28</v>
      </c>
      <c r="AA101" s="160" t="s">
        <v>28</v>
      </c>
      <c r="AB101" s="160" t="s">
        <v>28</v>
      </c>
      <c r="AC101" s="163" t="s">
        <v>28</v>
      </c>
      <c r="AD101" s="163" t="s">
        <v>28</v>
      </c>
      <c r="AE101" s="163" t="s">
        <v>28</v>
      </c>
      <c r="AF101" s="163" t="s">
        <v>28</v>
      </c>
      <c r="AG101" s="160" t="s">
        <v>28</v>
      </c>
      <c r="AH101" s="160" t="s">
        <v>28</v>
      </c>
      <c r="AI101" s="160" t="s">
        <v>28</v>
      </c>
      <c r="AJ101" s="161"/>
      <c r="AK101" s="161"/>
      <c r="AL101" s="162"/>
      <c r="AM101" s="160" t="s">
        <v>28</v>
      </c>
      <c r="AN101" s="160"/>
      <c r="AO101" s="16">
        <f>COUNTIF(Tabla112[[#This Row],[1L]:[Columna1]],"D12")</f>
        <v>24</v>
      </c>
      <c r="AP101" s="17">
        <f>COUNTIF(Tabla112[[#This Row],[1L]:[Columna1]],"N12")</f>
        <v>0</v>
      </c>
      <c r="AQ101" s="18">
        <f>COUNTBLANK(Tabla112[[#This Row],[1L]:[Columna1]])</f>
        <v>7</v>
      </c>
      <c r="AR101" s="276">
        <v>0.25</v>
      </c>
      <c r="AS101" s="278"/>
      <c r="AT101" s="276">
        <v>0.75</v>
      </c>
      <c r="AU101" s="277"/>
      <c r="AV101" s="278"/>
      <c r="AW101" s="4"/>
    </row>
    <row r="102" spans="1:49" x14ac:dyDescent="0.25">
      <c r="F102" s="205">
        <v>98498159</v>
      </c>
      <c r="G102" s="213" t="s">
        <v>71</v>
      </c>
      <c r="H102" s="15">
        <v>2026</v>
      </c>
      <c r="I102" s="15" t="s">
        <v>163</v>
      </c>
      <c r="J102" s="98" t="s">
        <v>28</v>
      </c>
      <c r="K102" s="98" t="s">
        <v>28</v>
      </c>
      <c r="L102" s="85" t="s">
        <v>28</v>
      </c>
      <c r="M102" s="85" t="s">
        <v>28</v>
      </c>
      <c r="N102" s="85" t="s">
        <v>28</v>
      </c>
      <c r="O102" s="199"/>
      <c r="P102" s="199"/>
      <c r="Q102" s="200"/>
      <c r="R102" s="85" t="s">
        <v>28</v>
      </c>
      <c r="S102" s="85" t="s">
        <v>28</v>
      </c>
      <c r="T102" s="85" t="s">
        <v>28</v>
      </c>
      <c r="U102" s="85" t="s">
        <v>28</v>
      </c>
      <c r="V102" s="85" t="s">
        <v>28</v>
      </c>
      <c r="W102" s="98" t="s">
        <v>28</v>
      </c>
      <c r="X102" s="98" t="s">
        <v>28</v>
      </c>
      <c r="Y102" s="98" t="s">
        <v>28</v>
      </c>
      <c r="Z102" s="98" t="s">
        <v>28</v>
      </c>
      <c r="AA102" s="98" t="s">
        <v>28</v>
      </c>
      <c r="AB102" s="98" t="s">
        <v>28</v>
      </c>
      <c r="AC102" s="98" t="s">
        <v>28</v>
      </c>
      <c r="AD102" s="199"/>
      <c r="AE102" s="199"/>
      <c r="AF102" s="200"/>
      <c r="AG102" s="98" t="s">
        <v>28</v>
      </c>
      <c r="AH102" s="98" t="s">
        <v>28</v>
      </c>
      <c r="AI102" s="98" t="s">
        <v>28</v>
      </c>
      <c r="AJ102" s="98" t="s">
        <v>28</v>
      </c>
      <c r="AK102" s="98" t="s">
        <v>28</v>
      </c>
      <c r="AL102" s="98" t="s">
        <v>28</v>
      </c>
      <c r="AM102" s="98" t="s">
        <v>28</v>
      </c>
      <c r="AN102" s="98"/>
      <c r="AO102" s="17">
        <f>COUNTIF(Tabla112[[#This Row],[1L]:[Columna1]],"D12")</f>
        <v>24</v>
      </c>
      <c r="AP102" s="17">
        <f>COUNTIF(Tabla112[[#This Row],[1L]:[Columna1]],"N12")</f>
        <v>0</v>
      </c>
      <c r="AQ102" s="18">
        <f>COUNTBLANK(Tabla112[[#This Row],[1L]:[Columna1]])</f>
        <v>7</v>
      </c>
      <c r="AR102" s="19"/>
      <c r="AS102" s="22"/>
      <c r="AT102" s="19"/>
      <c r="AU102" s="23"/>
      <c r="AV102" s="22"/>
      <c r="AW102" s="4"/>
    </row>
    <row r="103" spans="1:49" x14ac:dyDescent="0.25">
      <c r="F103" s="205">
        <v>15532746</v>
      </c>
      <c r="G103" s="205" t="s">
        <v>126</v>
      </c>
      <c r="H103" s="15">
        <v>2026</v>
      </c>
      <c r="I103" s="15" t="s">
        <v>163</v>
      </c>
      <c r="J103" s="98" t="s">
        <v>28</v>
      </c>
      <c r="K103" s="98" t="s">
        <v>28</v>
      </c>
      <c r="L103" s="98" t="s">
        <v>28</v>
      </c>
      <c r="M103" s="98" t="s">
        <v>28</v>
      </c>
      <c r="N103" s="98" t="s">
        <v>28</v>
      </c>
      <c r="O103" s="98" t="s">
        <v>28</v>
      </c>
      <c r="P103" s="98" t="s">
        <v>28</v>
      </c>
      <c r="Q103" s="98" t="s">
        <v>28</v>
      </c>
      <c r="R103" s="199"/>
      <c r="S103" s="199"/>
      <c r="T103" s="200"/>
      <c r="U103" s="98" t="s">
        <v>28</v>
      </c>
      <c r="V103" s="98" t="s">
        <v>28</v>
      </c>
      <c r="W103" s="126" t="s">
        <v>28</v>
      </c>
      <c r="X103" s="98" t="s">
        <v>28</v>
      </c>
      <c r="Y103" s="98" t="s">
        <v>28</v>
      </c>
      <c r="Z103" s="126" t="s">
        <v>28</v>
      </c>
      <c r="AA103" s="98" t="s">
        <v>28</v>
      </c>
      <c r="AB103" s="98" t="s">
        <v>28</v>
      </c>
      <c r="AC103" s="98" t="s">
        <v>28</v>
      </c>
      <c r="AD103" s="98" t="s">
        <v>28</v>
      </c>
      <c r="AE103" s="98" t="s">
        <v>28</v>
      </c>
      <c r="AF103" s="126" t="s">
        <v>28</v>
      </c>
      <c r="AG103" s="199"/>
      <c r="AH103" s="199"/>
      <c r="AI103" s="200"/>
      <c r="AJ103" s="98" t="s">
        <v>28</v>
      </c>
      <c r="AK103" s="98" t="s">
        <v>28</v>
      </c>
      <c r="AL103" s="98" t="s">
        <v>28</v>
      </c>
      <c r="AM103" s="98" t="s">
        <v>28</v>
      </c>
      <c r="AN103" s="98"/>
      <c r="AO103" s="17">
        <f>COUNTIF(Tabla112[[#This Row],[1L]:[Columna1]],"D12")</f>
        <v>24</v>
      </c>
      <c r="AP103" s="17">
        <f>COUNTIF(Tabla112[[#This Row],[1L]:[Columna1]],"N12")</f>
        <v>0</v>
      </c>
      <c r="AQ103" s="18">
        <f>COUNTBLANK(Tabla112[[#This Row],[1L]:[Columna1]])</f>
        <v>7</v>
      </c>
      <c r="AR103" s="19"/>
      <c r="AS103" s="22"/>
      <c r="AT103" s="19"/>
      <c r="AU103" s="23"/>
      <c r="AV103" s="22"/>
      <c r="AW103" s="4"/>
    </row>
    <row r="104" spans="1:49" x14ac:dyDescent="0.25">
      <c r="F104" s="205">
        <v>70568787</v>
      </c>
      <c r="G104" s="204" t="s">
        <v>79</v>
      </c>
      <c r="H104" s="15">
        <v>2026</v>
      </c>
      <c r="I104" s="15" t="s">
        <v>163</v>
      </c>
      <c r="J104" s="199"/>
      <c r="K104" s="199"/>
      <c r="L104" s="166" t="s">
        <v>29</v>
      </c>
      <c r="M104" s="166" t="s">
        <v>29</v>
      </c>
      <c r="N104" s="166" t="s">
        <v>29</v>
      </c>
      <c r="O104" s="166" t="s">
        <v>29</v>
      </c>
      <c r="P104" s="166" t="s">
        <v>29</v>
      </c>
      <c r="Q104" s="166" t="s">
        <v>29</v>
      </c>
      <c r="R104" s="166" t="s">
        <v>29</v>
      </c>
      <c r="S104" s="166" t="s">
        <v>29</v>
      </c>
      <c r="T104" s="166" t="s">
        <v>29</v>
      </c>
      <c r="U104" s="166" t="s">
        <v>29</v>
      </c>
      <c r="V104" s="166" t="s">
        <v>29</v>
      </c>
      <c r="W104" s="166" t="s">
        <v>29</v>
      </c>
      <c r="X104" s="199"/>
      <c r="Y104" s="199"/>
      <c r="Z104" s="200"/>
      <c r="AA104" s="166" t="s">
        <v>29</v>
      </c>
      <c r="AB104" s="166" t="s">
        <v>29</v>
      </c>
      <c r="AC104" s="166" t="s">
        <v>29</v>
      </c>
      <c r="AD104" s="166" t="s">
        <v>29</v>
      </c>
      <c r="AE104" s="166" t="s">
        <v>29</v>
      </c>
      <c r="AF104" s="166" t="s">
        <v>29</v>
      </c>
      <c r="AG104" s="166" t="s">
        <v>29</v>
      </c>
      <c r="AH104" s="166" t="s">
        <v>29</v>
      </c>
      <c r="AI104" s="166" t="s">
        <v>29</v>
      </c>
      <c r="AJ104" s="166" t="s">
        <v>29</v>
      </c>
      <c r="AK104" s="166" t="s">
        <v>29</v>
      </c>
      <c r="AL104" s="166" t="s">
        <v>29</v>
      </c>
      <c r="AM104" s="199"/>
      <c r="AN104" s="126"/>
      <c r="AO104" s="17">
        <f>COUNTIF(Tabla112[[#This Row],[1L]:[Columna1]],"D12")</f>
        <v>0</v>
      </c>
      <c r="AP104" s="17">
        <f>COUNTIF(Tabla112[[#This Row],[1L]:[Columna1]],"N12")</f>
        <v>24</v>
      </c>
      <c r="AQ104" s="18">
        <f>COUNTBLANK(Tabla112[[#This Row],[1L]:[Columna1]])</f>
        <v>7</v>
      </c>
      <c r="AR104" s="19"/>
      <c r="AS104" s="22"/>
      <c r="AT104" s="19"/>
      <c r="AU104" s="23"/>
      <c r="AV104" s="22"/>
      <c r="AW104" s="4"/>
    </row>
    <row r="105" spans="1:49" x14ac:dyDescent="0.25">
      <c r="F105" s="257">
        <v>71742698</v>
      </c>
      <c r="G105" s="257" t="s">
        <v>84</v>
      </c>
      <c r="H105" s="15">
        <v>2026</v>
      </c>
      <c r="I105" s="15" t="s">
        <v>163</v>
      </c>
      <c r="J105" s="253"/>
      <c r="K105" s="253"/>
      <c r="L105" s="98" t="s">
        <v>31</v>
      </c>
      <c r="M105" s="98" t="s">
        <v>31</v>
      </c>
      <c r="N105" s="98" t="s">
        <v>31</v>
      </c>
      <c r="O105" s="98" t="s">
        <v>28</v>
      </c>
      <c r="P105" s="98" t="s">
        <v>28</v>
      </c>
      <c r="Q105" s="98" t="s">
        <v>28</v>
      </c>
      <c r="R105" s="98" t="s">
        <v>31</v>
      </c>
      <c r="S105" s="98" t="s">
        <v>31</v>
      </c>
      <c r="T105" s="98" t="s">
        <v>31</v>
      </c>
      <c r="U105" s="98" t="s">
        <v>31</v>
      </c>
      <c r="V105" s="98" t="s">
        <v>28</v>
      </c>
      <c r="W105" s="98" t="s">
        <v>28</v>
      </c>
      <c r="X105" s="98" t="s">
        <v>28</v>
      </c>
      <c r="Y105" s="253"/>
      <c r="Z105" s="253"/>
      <c r="AA105" s="98" t="s">
        <v>31</v>
      </c>
      <c r="AB105" s="98" t="s">
        <v>31</v>
      </c>
      <c r="AC105" s="98" t="s">
        <v>28</v>
      </c>
      <c r="AD105" s="98" t="s">
        <v>28</v>
      </c>
      <c r="AE105" s="98" t="s">
        <v>31</v>
      </c>
      <c r="AF105" s="98" t="s">
        <v>31</v>
      </c>
      <c r="AG105" s="98" t="s">
        <v>31</v>
      </c>
      <c r="AH105" s="98" t="s">
        <v>31</v>
      </c>
      <c r="AI105" s="98" t="s">
        <v>31</v>
      </c>
      <c r="AJ105" s="98" t="s">
        <v>28</v>
      </c>
      <c r="AK105" s="98" t="s">
        <v>28</v>
      </c>
      <c r="AL105" s="98" t="s">
        <v>28</v>
      </c>
      <c r="AM105" s="98" t="s">
        <v>31</v>
      </c>
      <c r="AN105" s="18"/>
      <c r="AO105" s="17">
        <f>COUNTIF(Tabla112[[#This Row],[1L]:[Columna1]],"D12")</f>
        <v>11</v>
      </c>
      <c r="AP105" s="17">
        <f>COUNTIF(Tabla112[[#This Row],[1L]:[Columna1]],"N12")</f>
        <v>0</v>
      </c>
      <c r="AQ105" s="18">
        <f>COUNTBLANK(Tabla112[[#This Row],[1L]:[Columna1]])</f>
        <v>5</v>
      </c>
      <c r="AR105" s="19"/>
      <c r="AS105" s="22"/>
      <c r="AT105" s="19"/>
      <c r="AU105" s="23"/>
      <c r="AV105" s="22"/>
      <c r="AW105" s="4"/>
    </row>
    <row r="106" spans="1:49" x14ac:dyDescent="0.25">
      <c r="F106" s="205">
        <v>70137576</v>
      </c>
      <c r="G106" s="126" t="s">
        <v>70</v>
      </c>
      <c r="H106" s="15">
        <v>2026</v>
      </c>
      <c r="I106" s="15" t="s">
        <v>163</v>
      </c>
      <c r="J106" s="166" t="s">
        <v>29</v>
      </c>
      <c r="K106" s="166" t="s">
        <v>29</v>
      </c>
      <c r="L106" s="199"/>
      <c r="M106" s="199"/>
      <c r="N106" s="165"/>
      <c r="O106" s="126" t="s">
        <v>28</v>
      </c>
      <c r="P106" s="126" t="s">
        <v>28</v>
      </c>
      <c r="Q106" s="126" t="s">
        <v>28</v>
      </c>
      <c r="R106" s="126" t="s">
        <v>28</v>
      </c>
      <c r="S106" s="126" t="s">
        <v>28</v>
      </c>
      <c r="T106" s="126" t="s">
        <v>28</v>
      </c>
      <c r="U106" s="126" t="s">
        <v>28</v>
      </c>
      <c r="V106" s="126" t="s">
        <v>28</v>
      </c>
      <c r="W106" s="126" t="s">
        <v>28</v>
      </c>
      <c r="X106" s="167" t="s">
        <v>29</v>
      </c>
      <c r="Y106" s="167" t="s">
        <v>29</v>
      </c>
      <c r="Z106" s="167" t="s">
        <v>29</v>
      </c>
      <c r="AA106" s="199"/>
      <c r="AB106" s="199"/>
      <c r="AC106" s="200"/>
      <c r="AD106" s="126" t="s">
        <v>28</v>
      </c>
      <c r="AE106" s="126" t="s">
        <v>28</v>
      </c>
      <c r="AF106" s="126" t="s">
        <v>28</v>
      </c>
      <c r="AG106" s="126" t="s">
        <v>28</v>
      </c>
      <c r="AH106" s="126" t="s">
        <v>28</v>
      </c>
      <c r="AI106" s="126" t="s">
        <v>28</v>
      </c>
      <c r="AJ106" s="126" t="s">
        <v>28</v>
      </c>
      <c r="AK106" s="126" t="s">
        <v>28</v>
      </c>
      <c r="AL106" s="126" t="s">
        <v>28</v>
      </c>
      <c r="AM106" s="166" t="s">
        <v>29</v>
      </c>
      <c r="AN106" s="166"/>
      <c r="AO106" s="17">
        <f>COUNTIF(Tabla112[[#This Row],[1L]:[Columna1]],"D12")</f>
        <v>18</v>
      </c>
      <c r="AP106" s="17">
        <f>COUNTIF(Tabla112[[#This Row],[1L]:[Columna1]],"N12")</f>
        <v>6</v>
      </c>
      <c r="AQ106" s="18">
        <f>COUNTBLANK(Tabla112[[#This Row],[1L]:[Columna1]])</f>
        <v>7</v>
      </c>
      <c r="AR106" s="276"/>
      <c r="AS106" s="278"/>
      <c r="AT106" s="276"/>
      <c r="AU106" s="277"/>
      <c r="AV106" s="278"/>
      <c r="AW106" s="4"/>
    </row>
    <row r="107" spans="1:49" x14ac:dyDescent="0.25">
      <c r="F107" s="243"/>
      <c r="G107" s="126"/>
      <c r="H107" s="15">
        <v>2026</v>
      </c>
      <c r="I107" s="15" t="s">
        <v>163</v>
      </c>
      <c r="J107" s="244" t="s">
        <v>44</v>
      </c>
      <c r="K107" s="244" t="s">
        <v>44</v>
      </c>
      <c r="L107" s="244" t="s">
        <v>44</v>
      </c>
      <c r="M107" s="244" t="s">
        <v>44</v>
      </c>
      <c r="N107" s="244" t="s">
        <v>44</v>
      </c>
      <c r="O107" s="244" t="s">
        <v>44</v>
      </c>
      <c r="P107" s="244" t="s">
        <v>44</v>
      </c>
      <c r="Q107" s="244" t="s">
        <v>44</v>
      </c>
      <c r="R107" s="244" t="s">
        <v>44</v>
      </c>
      <c r="S107" s="244" t="s">
        <v>44</v>
      </c>
      <c r="T107" s="244" t="s">
        <v>44</v>
      </c>
      <c r="U107" s="244" t="s">
        <v>44</v>
      </c>
      <c r="V107" s="244" t="s">
        <v>44</v>
      </c>
      <c r="W107" s="244" t="s">
        <v>44</v>
      </c>
      <c r="X107" s="244" t="s">
        <v>44</v>
      </c>
      <c r="Y107" s="244" t="s">
        <v>44</v>
      </c>
      <c r="Z107" s="244" t="s">
        <v>44</v>
      </c>
      <c r="AA107" s="244" t="s">
        <v>44</v>
      </c>
      <c r="AB107" s="244" t="s">
        <v>44</v>
      </c>
      <c r="AC107" s="244" t="s">
        <v>44</v>
      </c>
      <c r="AD107" s="244" t="s">
        <v>44</v>
      </c>
      <c r="AE107" s="244" t="s">
        <v>44</v>
      </c>
      <c r="AF107" s="244" t="s">
        <v>44</v>
      </c>
      <c r="AG107" s="244" t="s">
        <v>44</v>
      </c>
      <c r="AH107" s="244" t="s">
        <v>44</v>
      </c>
      <c r="AI107" s="244" t="s">
        <v>44</v>
      </c>
      <c r="AJ107" s="244" t="s">
        <v>44</v>
      </c>
      <c r="AK107" s="244" t="s">
        <v>44</v>
      </c>
      <c r="AL107" s="244" t="s">
        <v>44</v>
      </c>
      <c r="AM107" s="194"/>
      <c r="AN107" s="194"/>
      <c r="AO107" s="17">
        <f>COUNTIF(Tabla112[[#This Row],[1L]:[Columna1]],"D12")</f>
        <v>0</v>
      </c>
      <c r="AP107" s="17">
        <f>COUNTIF(Tabla112[[#This Row],[1L]:[Columna1]],"N12")</f>
        <v>0</v>
      </c>
      <c r="AQ107" s="27">
        <f>COUNTBLANK(Tabla112[[#This Row],[1L]:[Columna1]])</f>
        <v>2</v>
      </c>
      <c r="AR107" s="28"/>
      <c r="AS107" s="29"/>
      <c r="AT107" s="28"/>
      <c r="AU107" s="29"/>
      <c r="AV107" s="29"/>
      <c r="AW107" s="4"/>
    </row>
    <row r="108" spans="1:49" x14ac:dyDescent="0.25">
      <c r="F108" s="240">
        <v>1003714219</v>
      </c>
      <c r="G108" s="241" t="s">
        <v>80</v>
      </c>
      <c r="H108" s="15">
        <v>2026</v>
      </c>
      <c r="I108" s="15" t="s">
        <v>163</v>
      </c>
      <c r="J108" s="166" t="s">
        <v>29</v>
      </c>
      <c r="K108" s="166" t="s">
        <v>29</v>
      </c>
      <c r="L108" s="199"/>
      <c r="M108" s="199"/>
      <c r="N108" s="165"/>
      <c r="O108" s="126" t="s">
        <v>28</v>
      </c>
      <c r="P108" s="126" t="s">
        <v>28</v>
      </c>
      <c r="Q108" s="126" t="s">
        <v>28</v>
      </c>
      <c r="R108" s="126" t="s">
        <v>28</v>
      </c>
      <c r="S108" s="126" t="s">
        <v>28</v>
      </c>
      <c r="T108" s="126" t="s">
        <v>28</v>
      </c>
      <c r="U108" s="126" t="s">
        <v>28</v>
      </c>
      <c r="V108" s="126" t="s">
        <v>28</v>
      </c>
      <c r="W108" s="126" t="s">
        <v>28</v>
      </c>
      <c r="X108" s="167" t="s">
        <v>29</v>
      </c>
      <c r="Y108" s="167" t="s">
        <v>29</v>
      </c>
      <c r="Z108" s="167" t="s">
        <v>29</v>
      </c>
      <c r="AA108" s="199"/>
      <c r="AB108" s="199"/>
      <c r="AC108" s="200"/>
      <c r="AD108" s="126" t="s">
        <v>28</v>
      </c>
      <c r="AE108" s="126" t="s">
        <v>28</v>
      </c>
      <c r="AF108" s="126" t="s">
        <v>28</v>
      </c>
      <c r="AG108" s="126" t="s">
        <v>28</v>
      </c>
      <c r="AH108" s="126" t="s">
        <v>28</v>
      </c>
      <c r="AI108" s="126" t="s">
        <v>28</v>
      </c>
      <c r="AJ108" s="126" t="s">
        <v>28</v>
      </c>
      <c r="AK108" s="126" t="s">
        <v>28</v>
      </c>
      <c r="AL108" s="126" t="s">
        <v>28</v>
      </c>
      <c r="AM108" s="166" t="s">
        <v>29</v>
      </c>
      <c r="AN108" s="166"/>
      <c r="AO108" s="17">
        <f>COUNTIF(Tabla112[[#This Row],[1L]:[Columna1]],"D12")</f>
        <v>18</v>
      </c>
      <c r="AP108" s="17">
        <f>COUNTIF(Tabla112[[#This Row],[1L]:[Columna1]],"N12")</f>
        <v>6</v>
      </c>
      <c r="AQ108" s="27">
        <f>COUNTBLANK(Tabla112[[#This Row],[1L]:[Columna1]])</f>
        <v>7</v>
      </c>
      <c r="AR108" s="28"/>
      <c r="AS108" s="29"/>
      <c r="AT108" s="28"/>
      <c r="AU108" s="29"/>
      <c r="AV108" s="29"/>
      <c r="AW108" s="4"/>
    </row>
    <row r="109" spans="1:49" x14ac:dyDescent="0.25">
      <c r="F109" s="211"/>
      <c r="G109" s="214"/>
      <c r="H109" s="15">
        <v>2026</v>
      </c>
      <c r="I109" s="15" t="s">
        <v>163</v>
      </c>
      <c r="J109" s="201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5"/>
      <c r="AN109" s="194"/>
      <c r="AO109" s="17">
        <f>COUNTIF(Tabla112[[#This Row],[1L]:[Columna1]],"D12")</f>
        <v>0</v>
      </c>
      <c r="AP109" s="17">
        <f>COUNTIF(Tabla112[[#This Row],[1L]:[Columna1]],"N12")</f>
        <v>0</v>
      </c>
      <c r="AQ109" s="27">
        <f>COUNTBLANK(Tabla112[[#This Row],[1L]:[Columna1]])</f>
        <v>31</v>
      </c>
      <c r="AR109" s="4"/>
      <c r="AS109" s="4"/>
      <c r="AT109" s="4"/>
      <c r="AU109" s="4"/>
      <c r="AV109" s="4"/>
      <c r="AW109" s="4"/>
    </row>
    <row r="110" spans="1:49" ht="18.75" x14ac:dyDescent="0.25">
      <c r="F110" s="32"/>
      <c r="G110" s="39"/>
      <c r="H110" s="15">
        <v>2026</v>
      </c>
      <c r="I110" s="15" t="s">
        <v>163</v>
      </c>
      <c r="J110" s="150">
        <f t="shared" ref="J110:AN110" si="6">COUNTIF(J101:J109,"D12")</f>
        <v>3</v>
      </c>
      <c r="K110" s="150">
        <f t="shared" si="6"/>
        <v>3</v>
      </c>
      <c r="L110" s="150">
        <f t="shared" si="6"/>
        <v>3</v>
      </c>
      <c r="M110" s="150">
        <f t="shared" si="6"/>
        <v>3</v>
      </c>
      <c r="N110" s="150">
        <f t="shared" si="6"/>
        <v>3</v>
      </c>
      <c r="O110" s="150">
        <f t="shared" si="6"/>
        <v>5</v>
      </c>
      <c r="P110" s="150">
        <f t="shared" si="6"/>
        <v>5</v>
      </c>
      <c r="Q110" s="150">
        <f t="shared" si="6"/>
        <v>5</v>
      </c>
      <c r="R110" s="150">
        <f t="shared" si="6"/>
        <v>4</v>
      </c>
      <c r="S110" s="150">
        <f t="shared" si="6"/>
        <v>4</v>
      </c>
      <c r="T110" s="150">
        <f t="shared" si="6"/>
        <v>4</v>
      </c>
      <c r="U110" s="150">
        <f t="shared" si="6"/>
        <v>4</v>
      </c>
      <c r="V110" s="150">
        <f t="shared" si="6"/>
        <v>5</v>
      </c>
      <c r="W110" s="150">
        <f t="shared" si="6"/>
        <v>5</v>
      </c>
      <c r="X110" s="150">
        <f t="shared" si="6"/>
        <v>4</v>
      </c>
      <c r="Y110" s="150">
        <f t="shared" si="6"/>
        <v>3</v>
      </c>
      <c r="Z110" s="150">
        <f t="shared" si="6"/>
        <v>3</v>
      </c>
      <c r="AA110" s="150">
        <f t="shared" si="6"/>
        <v>3</v>
      </c>
      <c r="AB110" s="150">
        <f t="shared" si="6"/>
        <v>3</v>
      </c>
      <c r="AC110" s="150">
        <f t="shared" si="6"/>
        <v>4</v>
      </c>
      <c r="AD110" s="150">
        <f t="shared" si="6"/>
        <v>5</v>
      </c>
      <c r="AE110" s="150">
        <f t="shared" si="6"/>
        <v>4</v>
      </c>
      <c r="AF110" s="150">
        <f t="shared" si="6"/>
        <v>4</v>
      </c>
      <c r="AG110" s="150">
        <f t="shared" si="6"/>
        <v>4</v>
      </c>
      <c r="AH110" s="150">
        <f t="shared" si="6"/>
        <v>4</v>
      </c>
      <c r="AI110" s="150">
        <f t="shared" si="6"/>
        <v>4</v>
      </c>
      <c r="AJ110" s="150">
        <f t="shared" si="6"/>
        <v>5</v>
      </c>
      <c r="AK110" s="150">
        <f t="shared" si="6"/>
        <v>5</v>
      </c>
      <c r="AL110" s="150">
        <f t="shared" si="6"/>
        <v>5</v>
      </c>
      <c r="AM110" s="150">
        <f t="shared" si="6"/>
        <v>3</v>
      </c>
      <c r="AN110" s="150">
        <f t="shared" si="6"/>
        <v>0</v>
      </c>
      <c r="AO110" s="33"/>
      <c r="AP110" s="33"/>
      <c r="AQ110" s="34"/>
      <c r="AR110" s="4"/>
      <c r="AS110" s="4"/>
      <c r="AT110" s="4"/>
      <c r="AU110" s="4"/>
      <c r="AV110" s="4"/>
      <c r="AW110" s="4"/>
    </row>
    <row r="111" spans="1:49" ht="18.75" x14ac:dyDescent="0.25">
      <c r="F111" s="35"/>
      <c r="G111" s="36"/>
      <c r="H111" s="15">
        <v>2026</v>
      </c>
      <c r="I111" s="15" t="s">
        <v>163</v>
      </c>
      <c r="J111" s="151">
        <f t="shared" ref="J111:AN111" si="7">COUNTIF(J101:J109,"N12")</f>
        <v>2</v>
      </c>
      <c r="K111" s="151">
        <f t="shared" si="7"/>
        <v>2</v>
      </c>
      <c r="L111" s="151">
        <f t="shared" si="7"/>
        <v>1</v>
      </c>
      <c r="M111" s="151">
        <f t="shared" si="7"/>
        <v>1</v>
      </c>
      <c r="N111" s="151">
        <f t="shared" si="7"/>
        <v>1</v>
      </c>
      <c r="O111" s="151">
        <f t="shared" si="7"/>
        <v>1</v>
      </c>
      <c r="P111" s="151">
        <f t="shared" si="7"/>
        <v>1</v>
      </c>
      <c r="Q111" s="151">
        <f t="shared" si="7"/>
        <v>1</v>
      </c>
      <c r="R111" s="151">
        <f t="shared" si="7"/>
        <v>1</v>
      </c>
      <c r="S111" s="151">
        <f t="shared" si="7"/>
        <v>1</v>
      </c>
      <c r="T111" s="151">
        <f t="shared" si="7"/>
        <v>1</v>
      </c>
      <c r="U111" s="151">
        <f t="shared" si="7"/>
        <v>1</v>
      </c>
      <c r="V111" s="151">
        <f t="shared" si="7"/>
        <v>1</v>
      </c>
      <c r="W111" s="151">
        <f t="shared" si="7"/>
        <v>1</v>
      </c>
      <c r="X111" s="151">
        <f t="shared" si="7"/>
        <v>2</v>
      </c>
      <c r="Y111" s="151">
        <f t="shared" si="7"/>
        <v>2</v>
      </c>
      <c r="Z111" s="151">
        <f t="shared" si="7"/>
        <v>2</v>
      </c>
      <c r="AA111" s="151">
        <f t="shared" si="7"/>
        <v>1</v>
      </c>
      <c r="AB111" s="151">
        <f t="shared" si="7"/>
        <v>1</v>
      </c>
      <c r="AC111" s="151">
        <f t="shared" si="7"/>
        <v>1</v>
      </c>
      <c r="AD111" s="151">
        <f t="shared" si="7"/>
        <v>1</v>
      </c>
      <c r="AE111" s="151">
        <f t="shared" si="7"/>
        <v>1</v>
      </c>
      <c r="AF111" s="151">
        <f t="shared" si="7"/>
        <v>1</v>
      </c>
      <c r="AG111" s="151">
        <f t="shared" si="7"/>
        <v>1</v>
      </c>
      <c r="AH111" s="151">
        <f t="shared" si="7"/>
        <v>1</v>
      </c>
      <c r="AI111" s="151">
        <f t="shared" si="7"/>
        <v>1</v>
      </c>
      <c r="AJ111" s="151">
        <f t="shared" si="7"/>
        <v>1</v>
      </c>
      <c r="AK111" s="151">
        <f t="shared" si="7"/>
        <v>1</v>
      </c>
      <c r="AL111" s="151">
        <f t="shared" si="7"/>
        <v>1</v>
      </c>
      <c r="AM111" s="151">
        <f t="shared" si="7"/>
        <v>2</v>
      </c>
      <c r="AN111" s="151">
        <f t="shared" si="7"/>
        <v>0</v>
      </c>
      <c r="AO111" s="38"/>
      <c r="AP111" s="38"/>
      <c r="AQ111" s="34"/>
      <c r="AR111" s="4"/>
      <c r="AS111" s="4"/>
      <c r="AT111" s="4"/>
      <c r="AU111" s="4"/>
      <c r="AV111" s="4"/>
      <c r="AW111" s="4"/>
    </row>
    <row r="112" spans="1:49" s="39" customFormat="1" ht="15" customHeight="1" x14ac:dyDescent="0.25">
      <c r="F112" s="51"/>
      <c r="G112" s="51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J112" s="53"/>
      <c r="AK112" s="53"/>
      <c r="AL112" s="53"/>
      <c r="AM112" s="53"/>
      <c r="AN112" s="53"/>
      <c r="AO112" s="54"/>
      <c r="AP112" s="54"/>
      <c r="AQ112" s="54"/>
    </row>
    <row r="113" spans="6:49" s="39" customFormat="1" ht="15" customHeight="1" x14ac:dyDescent="0.25">
      <c r="F113" s="51"/>
      <c r="G113" s="51"/>
      <c r="H113" s="301" t="s">
        <v>36</v>
      </c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3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53"/>
      <c r="AO113" s="54"/>
      <c r="AP113" s="54"/>
      <c r="AQ113" s="54"/>
    </row>
    <row r="114" spans="6:49" s="39" customFormat="1" ht="15" customHeight="1" x14ac:dyDescent="0.25">
      <c r="F114" s="51"/>
      <c r="G114" s="51"/>
      <c r="H114" s="304" t="s">
        <v>37</v>
      </c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6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53"/>
      <c r="AO114" s="54"/>
      <c r="AP114" s="54"/>
      <c r="AQ114" s="54"/>
    </row>
    <row r="115" spans="6:49" s="39" customFormat="1" ht="15" customHeight="1" x14ac:dyDescent="0.25">
      <c r="F115" s="51"/>
      <c r="G115" s="51"/>
      <c r="H115" s="352" t="s">
        <v>38</v>
      </c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  <c r="AA115" s="352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53"/>
      <c r="AO115" s="54"/>
      <c r="AP115" s="54"/>
      <c r="AQ115" s="54"/>
    </row>
    <row r="116" spans="6:49" s="39" customFormat="1" ht="15" customHeight="1" x14ac:dyDescent="0.25">
      <c r="F116" s="51"/>
      <c r="G116" s="5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53"/>
      <c r="AO116" s="54"/>
      <c r="AP116" s="54"/>
      <c r="AQ116" s="54"/>
    </row>
    <row r="117" spans="6:49" s="45" customFormat="1" ht="15" customHeight="1" x14ac:dyDescent="0.25">
      <c r="F117" s="66"/>
      <c r="G117" s="66"/>
      <c r="H117" s="42"/>
      <c r="I117" s="346" t="s">
        <v>39</v>
      </c>
      <c r="J117" s="347"/>
      <c r="K117" s="347"/>
      <c r="L117" s="348"/>
      <c r="M117" s="43"/>
      <c r="N117" s="346" t="s">
        <v>40</v>
      </c>
      <c r="O117" s="347"/>
      <c r="P117" s="347"/>
      <c r="Q117" s="347"/>
      <c r="R117" s="348"/>
      <c r="S117" s="300" t="s">
        <v>13</v>
      </c>
      <c r="T117" s="300"/>
      <c r="U117" s="300" t="s">
        <v>14</v>
      </c>
      <c r="V117" s="300"/>
      <c r="W117" s="300"/>
      <c r="X117" s="1"/>
      <c r="Y117" s="1"/>
      <c r="Z117" s="1"/>
      <c r="AA117" s="1"/>
      <c r="AB117" s="86"/>
      <c r="AC117" s="86"/>
      <c r="AD117" s="86"/>
      <c r="AE117" s="86"/>
      <c r="AF117" s="86"/>
      <c r="AG117" s="86"/>
      <c r="AH117" s="86"/>
      <c r="AJ117" s="67"/>
      <c r="AK117" s="67"/>
      <c r="AL117" s="67"/>
      <c r="AM117" s="67"/>
      <c r="AN117" s="67"/>
      <c r="AO117" s="68"/>
      <c r="AP117" s="68"/>
      <c r="AQ117" s="68"/>
    </row>
    <row r="118" spans="6:49" s="39" customFormat="1" ht="15" customHeight="1" x14ac:dyDescent="0.25">
      <c r="F118" s="51"/>
      <c r="G118" s="51"/>
      <c r="H118" s="46" t="s">
        <v>32</v>
      </c>
      <c r="I118" s="279" t="s">
        <v>41</v>
      </c>
      <c r="J118" s="280"/>
      <c r="K118" s="280"/>
      <c r="L118" s="281"/>
      <c r="M118" s="47" t="s">
        <v>42</v>
      </c>
      <c r="N118" s="279" t="s">
        <v>43</v>
      </c>
      <c r="O118" s="280"/>
      <c r="P118" s="280"/>
      <c r="Q118" s="280"/>
      <c r="R118" s="281"/>
      <c r="S118" s="276">
        <v>0.27083333333333331</v>
      </c>
      <c r="T118" s="278"/>
      <c r="U118" s="276">
        <v>0.77083333333333337</v>
      </c>
      <c r="V118" s="277"/>
      <c r="W118" s="278"/>
      <c r="X118" s="1"/>
      <c r="Y118" s="1"/>
      <c r="Z118" s="1"/>
      <c r="AA118" s="1"/>
      <c r="AB118" s="52"/>
      <c r="AC118" s="52"/>
      <c r="AD118" s="52"/>
      <c r="AE118" s="52"/>
      <c r="AF118" s="52"/>
      <c r="AG118" s="52"/>
      <c r="AH118" s="52"/>
      <c r="AJ118" s="53"/>
      <c r="AK118" s="53"/>
      <c r="AL118" s="53"/>
      <c r="AM118" s="53"/>
      <c r="AN118" s="53"/>
      <c r="AO118" s="54"/>
      <c r="AP118" s="54"/>
      <c r="AQ118" s="54"/>
    </row>
    <row r="119" spans="6:49" s="39" customFormat="1" ht="15" customHeight="1" x14ac:dyDescent="0.25">
      <c r="F119" s="51"/>
      <c r="G119" s="51"/>
      <c r="H119" s="48" t="s">
        <v>44</v>
      </c>
      <c r="I119" s="279" t="s">
        <v>45</v>
      </c>
      <c r="J119" s="280"/>
      <c r="K119" s="280"/>
      <c r="L119" s="281"/>
      <c r="M119" s="49" t="s">
        <v>46</v>
      </c>
      <c r="N119" s="279" t="s">
        <v>47</v>
      </c>
      <c r="O119" s="280"/>
      <c r="P119" s="280"/>
      <c r="Q119" s="280"/>
      <c r="R119" s="281"/>
      <c r="S119" s="276"/>
      <c r="T119" s="278"/>
      <c r="U119" s="276"/>
      <c r="V119" s="277"/>
      <c r="W119" s="278"/>
      <c r="X119" s="1"/>
      <c r="Y119" s="1"/>
      <c r="Z119" s="1"/>
      <c r="AA119" s="1"/>
      <c r="AB119" s="52"/>
      <c r="AC119" s="52"/>
      <c r="AD119" s="52"/>
      <c r="AE119" s="52"/>
      <c r="AF119" s="52"/>
      <c r="AG119" s="52"/>
      <c r="AH119" s="52"/>
      <c r="AJ119" s="53"/>
      <c r="AK119" s="53"/>
      <c r="AL119" s="53"/>
      <c r="AM119" s="53"/>
      <c r="AN119" s="53"/>
      <c r="AO119" s="54"/>
      <c r="AP119" s="54"/>
      <c r="AQ119" s="54"/>
    </row>
    <row r="120" spans="6:49" s="39" customFormat="1" ht="15" customHeight="1" x14ac:dyDescent="0.25">
      <c r="F120" s="51"/>
      <c r="G120" s="51"/>
      <c r="H120" s="1" t="s">
        <v>48</v>
      </c>
      <c r="I120" s="279" t="s">
        <v>49</v>
      </c>
      <c r="J120" s="280"/>
      <c r="K120" s="280"/>
      <c r="L120" s="281"/>
      <c r="M120" s="39" t="s">
        <v>50</v>
      </c>
      <c r="N120" s="279" t="s">
        <v>51</v>
      </c>
      <c r="O120" s="280"/>
      <c r="P120" s="280"/>
      <c r="Q120" s="280"/>
      <c r="R120" s="281"/>
      <c r="S120" s="19"/>
      <c r="T120" s="22"/>
      <c r="U120" s="19"/>
      <c r="V120" s="23"/>
      <c r="W120" s="22"/>
      <c r="X120" s="1"/>
      <c r="Y120" s="1"/>
      <c r="Z120" s="1"/>
      <c r="AA120" s="1"/>
      <c r="AB120" s="52"/>
      <c r="AC120" s="52"/>
      <c r="AD120" s="52"/>
      <c r="AE120" s="52"/>
      <c r="AF120" s="52"/>
      <c r="AG120" s="52"/>
      <c r="AH120" s="52"/>
      <c r="AJ120" s="53"/>
      <c r="AK120" s="53"/>
      <c r="AL120" s="53"/>
      <c r="AM120" s="53"/>
      <c r="AN120" s="53"/>
      <c r="AO120" s="54"/>
      <c r="AP120" s="54"/>
      <c r="AQ120" s="54"/>
    </row>
    <row r="121" spans="6:49" s="39" customFormat="1" ht="15" customHeight="1" x14ac:dyDescent="0.25">
      <c r="F121" s="51"/>
      <c r="G121" s="51"/>
      <c r="H121" s="1" t="s">
        <v>29</v>
      </c>
      <c r="I121" s="279" t="s">
        <v>52</v>
      </c>
      <c r="J121" s="280"/>
      <c r="K121" s="280"/>
      <c r="L121" s="281"/>
      <c r="M121" s="1" t="s">
        <v>53</v>
      </c>
      <c r="N121" s="279" t="s">
        <v>54</v>
      </c>
      <c r="O121" s="280"/>
      <c r="P121" s="280"/>
      <c r="Q121" s="280"/>
      <c r="R121" s="281"/>
      <c r="S121" s="19"/>
      <c r="T121" s="22"/>
      <c r="U121" s="19"/>
      <c r="V121" s="23"/>
      <c r="W121" s="22"/>
      <c r="X121" s="1"/>
      <c r="Y121" s="1"/>
      <c r="Z121" s="1"/>
      <c r="AA121" s="1"/>
      <c r="AB121" s="52"/>
      <c r="AC121" s="52"/>
      <c r="AD121" s="52"/>
      <c r="AE121" s="52"/>
      <c r="AF121" s="52">
        <f>AD118</f>
        <v>0</v>
      </c>
      <c r="AG121" s="52"/>
      <c r="AH121" s="52"/>
      <c r="AJ121" s="53"/>
      <c r="AK121" s="53"/>
      <c r="AL121" s="53"/>
      <c r="AM121" s="53"/>
      <c r="AN121" s="53"/>
      <c r="AO121" s="54"/>
      <c r="AP121" s="54"/>
      <c r="AQ121" s="54"/>
    </row>
    <row r="122" spans="6:49" s="39" customFormat="1" ht="15" customHeight="1" x14ac:dyDescent="0.25">
      <c r="F122" s="51"/>
      <c r="G122" s="51"/>
      <c r="H122" s="36" t="s">
        <v>28</v>
      </c>
      <c r="I122" s="331" t="s">
        <v>55</v>
      </c>
      <c r="J122" s="332"/>
      <c r="K122" s="332"/>
      <c r="L122" s="333"/>
      <c r="M122" s="36" t="s">
        <v>31</v>
      </c>
      <c r="N122" s="331" t="s">
        <v>56</v>
      </c>
      <c r="O122" s="332"/>
      <c r="P122" s="332"/>
      <c r="Q122" s="332"/>
      <c r="R122" s="333"/>
      <c r="S122" s="276"/>
      <c r="T122" s="278"/>
      <c r="U122" s="276"/>
      <c r="V122" s="277"/>
      <c r="W122" s="278"/>
      <c r="X122" s="1"/>
      <c r="Y122" s="1"/>
      <c r="Z122" s="1"/>
      <c r="AA122" s="1"/>
      <c r="AB122" s="52"/>
      <c r="AC122" s="52"/>
      <c r="AD122" s="52"/>
      <c r="AE122" s="52"/>
      <c r="AF122" s="52"/>
      <c r="AG122" s="52"/>
      <c r="AH122" s="52"/>
      <c r="AJ122" s="53"/>
      <c r="AK122" s="53"/>
      <c r="AL122" s="53"/>
      <c r="AM122" s="53"/>
      <c r="AN122" s="53"/>
      <c r="AO122" s="54"/>
      <c r="AP122" s="54"/>
      <c r="AQ122" s="54"/>
    </row>
    <row r="123" spans="6:49" s="39" customFormat="1" ht="15" customHeight="1" x14ac:dyDescent="0.25">
      <c r="F123" s="51"/>
      <c r="G123" s="51"/>
      <c r="H123" s="36"/>
      <c r="I123" s="138"/>
      <c r="J123" s="139"/>
      <c r="K123" s="139"/>
      <c r="L123" s="140"/>
      <c r="M123" s="36"/>
      <c r="N123" s="138"/>
      <c r="O123" s="139"/>
      <c r="P123" s="139"/>
      <c r="Q123" s="139"/>
      <c r="R123" s="140"/>
      <c r="S123" s="19"/>
      <c r="T123" s="22"/>
      <c r="U123" s="19"/>
      <c r="V123" s="23"/>
      <c r="W123" s="22"/>
      <c r="X123" s="1"/>
      <c r="Y123" s="1"/>
      <c r="Z123" s="1"/>
      <c r="AA123" s="1"/>
      <c r="AB123" s="52"/>
      <c r="AC123" s="52"/>
      <c r="AD123" s="52"/>
      <c r="AE123" s="52"/>
      <c r="AF123" s="52"/>
      <c r="AG123" s="52"/>
      <c r="AH123" s="52"/>
      <c r="AJ123" s="53"/>
      <c r="AK123" s="53"/>
      <c r="AL123" s="53"/>
      <c r="AM123" s="53"/>
      <c r="AN123" s="53"/>
      <c r="AO123" s="54"/>
      <c r="AP123" s="54"/>
      <c r="AQ123" s="54"/>
    </row>
    <row r="124" spans="6:49" s="39" customFormat="1" ht="15" customHeight="1" x14ac:dyDescent="0.25">
      <c r="F124" s="51"/>
      <c r="G124" s="51"/>
      <c r="H124" s="36"/>
      <c r="I124" s="138"/>
      <c r="J124" s="139"/>
      <c r="K124" s="139"/>
      <c r="L124" s="140"/>
      <c r="M124" s="36"/>
      <c r="N124" s="138"/>
      <c r="O124" s="139"/>
      <c r="P124" s="139"/>
      <c r="Q124" s="139"/>
      <c r="R124" s="140"/>
      <c r="S124" s="19"/>
      <c r="T124" s="22"/>
      <c r="U124" s="19"/>
      <c r="V124" s="23"/>
      <c r="W124" s="22"/>
      <c r="X124" s="1"/>
      <c r="Y124" s="1"/>
      <c r="Z124" s="1"/>
      <c r="AA124" s="1"/>
      <c r="AB124" s="52"/>
      <c r="AC124" s="52"/>
      <c r="AD124" s="52"/>
      <c r="AE124" s="52"/>
      <c r="AF124" s="52"/>
      <c r="AG124" s="52"/>
      <c r="AH124" s="52"/>
      <c r="AJ124" s="53"/>
      <c r="AK124" s="53"/>
      <c r="AL124" s="53"/>
      <c r="AM124" s="53"/>
      <c r="AN124" s="53"/>
      <c r="AO124" s="54"/>
      <c r="AP124" s="54"/>
      <c r="AQ124" s="54"/>
    </row>
    <row r="125" spans="6:49" s="39" customFormat="1" ht="15" customHeight="1" x14ac:dyDescent="0.25"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3"/>
      <c r="AJ125" s="53"/>
      <c r="AK125" s="53"/>
      <c r="AL125" s="53"/>
      <c r="AM125" s="53"/>
      <c r="AN125" s="53"/>
      <c r="AO125" s="54"/>
      <c r="AP125" s="54"/>
      <c r="AQ125" s="54"/>
    </row>
    <row r="126" spans="6:49" s="39" customFormat="1" ht="15" customHeight="1" x14ac:dyDescent="0.25">
      <c r="F126" s="51"/>
      <c r="G126" s="51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3"/>
      <c r="AJ126" s="53"/>
      <c r="AK126" s="53"/>
      <c r="AL126" s="53"/>
      <c r="AM126" s="53"/>
      <c r="AN126" s="53"/>
      <c r="AO126" s="54"/>
      <c r="AP126" s="54"/>
      <c r="AQ126" s="54"/>
    </row>
    <row r="127" spans="6:49" s="39" customFormat="1" ht="15" customHeight="1" x14ac:dyDescent="0.25">
      <c r="F127" s="51"/>
      <c r="G127" s="51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3"/>
      <c r="AJ127" s="53"/>
      <c r="AK127" s="53"/>
      <c r="AL127" s="53"/>
      <c r="AM127" s="53"/>
      <c r="AN127" s="53"/>
      <c r="AO127" s="54"/>
      <c r="AP127" s="54"/>
      <c r="AQ127" s="54"/>
    </row>
    <row r="128" spans="6:49" s="1" customFormat="1" ht="15" customHeight="1" x14ac:dyDescent="0.25">
      <c r="F128" s="283" t="s">
        <v>73</v>
      </c>
      <c r="G128" s="284"/>
      <c r="H128" s="309" t="s">
        <v>1</v>
      </c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10"/>
      <c r="AG128" s="310"/>
      <c r="AH128" s="311"/>
      <c r="AI128" s="315" t="s">
        <v>2</v>
      </c>
      <c r="AJ128" s="316"/>
      <c r="AK128" s="316"/>
      <c r="AL128" s="316"/>
      <c r="AM128" s="316"/>
      <c r="AN128" s="317"/>
      <c r="AO128" s="2"/>
      <c r="AP128" s="2"/>
      <c r="AQ128" s="2"/>
      <c r="AR128" s="39"/>
      <c r="AS128" s="39"/>
      <c r="AT128" s="39"/>
      <c r="AU128" s="39"/>
      <c r="AV128" s="39"/>
      <c r="AW128" s="39"/>
    </row>
    <row r="129" spans="1:49" s="1" customFormat="1" ht="15" customHeight="1" x14ac:dyDescent="0.25">
      <c r="F129" s="285"/>
      <c r="G129" s="286"/>
      <c r="H129" s="312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  <c r="AA129" s="313"/>
      <c r="AB129" s="313"/>
      <c r="AC129" s="313"/>
      <c r="AD129" s="313"/>
      <c r="AE129" s="313"/>
      <c r="AF129" s="313"/>
      <c r="AG129" s="313"/>
      <c r="AH129" s="314"/>
      <c r="AI129" s="318"/>
      <c r="AJ129" s="319"/>
      <c r="AK129" s="319"/>
      <c r="AL129" s="319"/>
      <c r="AM129" s="319"/>
      <c r="AN129" s="320"/>
      <c r="AO129" s="2"/>
      <c r="AP129" s="2"/>
      <c r="AQ129" s="2"/>
      <c r="AR129" s="39"/>
      <c r="AS129" s="39"/>
      <c r="AT129" s="39"/>
      <c r="AU129" s="39"/>
      <c r="AV129" s="39"/>
      <c r="AW129" s="39"/>
    </row>
    <row r="130" spans="1:49" s="1" customFormat="1" ht="15" customHeight="1" x14ac:dyDescent="0.25">
      <c r="F130" s="285"/>
      <c r="G130" s="286"/>
      <c r="H130" s="87" t="s">
        <v>3</v>
      </c>
      <c r="I130" s="87"/>
      <c r="J130" s="87"/>
      <c r="K130" s="300" t="s">
        <v>4</v>
      </c>
      <c r="L130" s="300"/>
      <c r="M130" s="300"/>
      <c r="N130" s="300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2"/>
      <c r="AI130" s="315" t="s">
        <v>5</v>
      </c>
      <c r="AJ130" s="316"/>
      <c r="AK130" s="316"/>
      <c r="AL130" s="316"/>
      <c r="AM130" s="316"/>
      <c r="AN130" s="317"/>
      <c r="AO130" s="2"/>
      <c r="AP130" s="2"/>
      <c r="AQ130" s="2"/>
      <c r="AR130" s="39"/>
      <c r="AS130" s="39"/>
      <c r="AT130" s="39"/>
      <c r="AU130" s="39"/>
      <c r="AV130" s="39"/>
      <c r="AW130" s="39"/>
    </row>
    <row r="131" spans="1:49" s="1" customFormat="1" ht="15" customHeight="1" x14ac:dyDescent="0.25">
      <c r="F131" s="285"/>
      <c r="G131" s="286"/>
      <c r="H131" s="87" t="s">
        <v>6</v>
      </c>
      <c r="I131" s="87"/>
      <c r="J131" s="87"/>
      <c r="K131" s="300" t="s">
        <v>7</v>
      </c>
      <c r="L131" s="300"/>
      <c r="M131" s="300"/>
      <c r="N131" s="300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4"/>
      <c r="AI131" s="318"/>
      <c r="AJ131" s="319"/>
      <c r="AK131" s="319"/>
      <c r="AL131" s="319"/>
      <c r="AM131" s="319"/>
      <c r="AN131" s="320"/>
      <c r="AO131" s="2"/>
      <c r="AP131" s="2"/>
      <c r="AQ131" s="2"/>
      <c r="AR131" s="39"/>
      <c r="AS131" s="39"/>
      <c r="AT131" s="39"/>
      <c r="AU131" s="39"/>
      <c r="AV131" s="39"/>
      <c r="AW131" s="39"/>
    </row>
    <row r="132" spans="1:49" s="1" customFormat="1" ht="15" customHeight="1" x14ac:dyDescent="0.25">
      <c r="F132" s="285"/>
      <c r="G132" s="286"/>
      <c r="H132" s="87" t="s">
        <v>8</v>
      </c>
      <c r="I132" s="87"/>
      <c r="J132" s="87"/>
      <c r="K132" s="300" t="s">
        <v>9</v>
      </c>
      <c r="L132" s="300"/>
      <c r="M132" s="300"/>
      <c r="N132" s="300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4"/>
      <c r="AI132" s="315" t="s">
        <v>10</v>
      </c>
      <c r="AJ132" s="316"/>
      <c r="AK132" s="316"/>
      <c r="AL132" s="316"/>
      <c r="AM132" s="316"/>
      <c r="AN132" s="317"/>
      <c r="AO132" s="2"/>
      <c r="AP132" s="2"/>
      <c r="AQ132" s="2"/>
      <c r="AR132" s="39"/>
      <c r="AS132" s="39"/>
      <c r="AT132" s="39"/>
      <c r="AU132" s="39"/>
      <c r="AV132" s="39"/>
      <c r="AW132" s="39"/>
    </row>
    <row r="133" spans="1:49" s="1" customFormat="1" ht="15" customHeight="1" x14ac:dyDescent="0.25">
      <c r="F133" s="287"/>
      <c r="G133" s="288"/>
      <c r="H133" s="87" t="s">
        <v>11</v>
      </c>
      <c r="I133" s="87"/>
      <c r="J133" s="87"/>
      <c r="K133" s="300" t="s">
        <v>12</v>
      </c>
      <c r="L133" s="300"/>
      <c r="M133" s="300"/>
      <c r="N133" s="300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25"/>
      <c r="AE133" s="325"/>
      <c r="AF133" s="325"/>
      <c r="AG133" s="325"/>
      <c r="AH133" s="326"/>
      <c r="AI133" s="318"/>
      <c r="AJ133" s="319"/>
      <c r="AK133" s="319"/>
      <c r="AL133" s="319"/>
      <c r="AM133" s="319"/>
      <c r="AN133" s="320"/>
      <c r="AO133" s="2"/>
      <c r="AP133" s="2"/>
      <c r="AQ133" s="2"/>
      <c r="AR133" s="300" t="s">
        <v>13</v>
      </c>
      <c r="AS133" s="300"/>
      <c r="AT133" s="300" t="s">
        <v>14</v>
      </c>
      <c r="AU133" s="300"/>
      <c r="AV133" s="300"/>
      <c r="AW133" s="39"/>
    </row>
    <row r="134" spans="1:49" ht="18.75" x14ac:dyDescent="0.25">
      <c r="A134" s="7" t="s">
        <v>15</v>
      </c>
      <c r="B134" s="8" t="s">
        <v>16</v>
      </c>
      <c r="C134" s="9" t="s">
        <v>17</v>
      </c>
      <c r="D134" s="9" t="s">
        <v>18</v>
      </c>
      <c r="E134" s="9" t="s">
        <v>19</v>
      </c>
      <c r="F134" s="10" t="s">
        <v>20</v>
      </c>
      <c r="G134" s="7" t="s">
        <v>21</v>
      </c>
      <c r="H134" s="7" t="s">
        <v>22</v>
      </c>
      <c r="I134" s="7" t="s">
        <v>23</v>
      </c>
      <c r="J134" s="247" t="s">
        <v>132</v>
      </c>
      <c r="K134" s="247" t="s">
        <v>133</v>
      </c>
      <c r="L134" s="247" t="s">
        <v>134</v>
      </c>
      <c r="M134" s="247" t="s">
        <v>135</v>
      </c>
      <c r="N134" s="247" t="s">
        <v>136</v>
      </c>
      <c r="O134" s="247" t="s">
        <v>137</v>
      </c>
      <c r="P134" s="155" t="s">
        <v>138</v>
      </c>
      <c r="Q134" s="155" t="s">
        <v>139</v>
      </c>
      <c r="R134" s="247" t="s">
        <v>140</v>
      </c>
      <c r="S134" s="247" t="s">
        <v>141</v>
      </c>
      <c r="T134" s="247" t="s">
        <v>142</v>
      </c>
      <c r="U134" s="247" t="s">
        <v>143</v>
      </c>
      <c r="V134" s="247" t="s">
        <v>144</v>
      </c>
      <c r="W134" s="155" t="s">
        <v>145</v>
      </c>
      <c r="X134" s="155" t="s">
        <v>146</v>
      </c>
      <c r="Y134" s="247" t="s">
        <v>147</v>
      </c>
      <c r="Z134" s="247" t="s">
        <v>148</v>
      </c>
      <c r="AA134" s="247" t="s">
        <v>149</v>
      </c>
      <c r="AB134" s="247" t="s">
        <v>150</v>
      </c>
      <c r="AC134" s="247" t="s">
        <v>151</v>
      </c>
      <c r="AD134" s="155" t="s">
        <v>152</v>
      </c>
      <c r="AE134" s="247" t="s">
        <v>153</v>
      </c>
      <c r="AF134" s="247" t="s">
        <v>154</v>
      </c>
      <c r="AG134" s="247" t="s">
        <v>155</v>
      </c>
      <c r="AH134" s="248" t="s">
        <v>156</v>
      </c>
      <c r="AI134" s="247" t="s">
        <v>157</v>
      </c>
      <c r="AJ134" s="247" t="s">
        <v>158</v>
      </c>
      <c r="AK134" s="155" t="s">
        <v>159</v>
      </c>
      <c r="AL134" s="155" t="s">
        <v>160</v>
      </c>
      <c r="AM134" s="247" t="s">
        <v>161</v>
      </c>
      <c r="AN134" s="249" t="s">
        <v>162</v>
      </c>
      <c r="AO134" s="11" t="s">
        <v>24</v>
      </c>
      <c r="AP134" s="11" t="s">
        <v>25</v>
      </c>
      <c r="AQ134" s="11" t="s">
        <v>26</v>
      </c>
      <c r="AR134" s="340">
        <v>0.75</v>
      </c>
      <c r="AS134" s="341"/>
      <c r="AT134" s="340">
        <v>0.25</v>
      </c>
      <c r="AU134" s="342"/>
      <c r="AV134" s="341"/>
      <c r="AW134" s="9"/>
    </row>
    <row r="135" spans="1:49" x14ac:dyDescent="0.25">
      <c r="F135" s="205">
        <v>98527150</v>
      </c>
      <c r="G135" s="209" t="s">
        <v>74</v>
      </c>
      <c r="H135" s="15">
        <v>2026</v>
      </c>
      <c r="I135" s="15" t="s">
        <v>163</v>
      </c>
      <c r="J135" s="166" t="s">
        <v>29</v>
      </c>
      <c r="K135" s="166" t="s">
        <v>29</v>
      </c>
      <c r="L135" s="164"/>
      <c r="M135" s="166" t="s">
        <v>31</v>
      </c>
      <c r="N135" s="166" t="s">
        <v>28</v>
      </c>
      <c r="O135" s="166" t="s">
        <v>28</v>
      </c>
      <c r="P135" s="166" t="s">
        <v>29</v>
      </c>
      <c r="Q135" s="166" t="s">
        <v>29</v>
      </c>
      <c r="R135" s="164"/>
      <c r="S135" s="166" t="s">
        <v>31</v>
      </c>
      <c r="T135" s="166" t="s">
        <v>28</v>
      </c>
      <c r="U135" s="166" t="s">
        <v>28</v>
      </c>
      <c r="V135" s="166" t="s">
        <v>29</v>
      </c>
      <c r="W135" s="166" t="s">
        <v>29</v>
      </c>
      <c r="X135" s="164"/>
      <c r="Y135" s="166" t="s">
        <v>31</v>
      </c>
      <c r="Z135" s="166" t="s">
        <v>28</v>
      </c>
      <c r="AA135" s="166" t="s">
        <v>28</v>
      </c>
      <c r="AB135" s="166" t="s">
        <v>29</v>
      </c>
      <c r="AC135" s="166" t="s">
        <v>29</v>
      </c>
      <c r="AD135" s="164"/>
      <c r="AE135" s="166" t="s">
        <v>31</v>
      </c>
      <c r="AF135" s="166" t="s">
        <v>28</v>
      </c>
      <c r="AG135" s="166" t="s">
        <v>28</v>
      </c>
      <c r="AH135" s="166" t="s">
        <v>29</v>
      </c>
      <c r="AI135" s="166" t="s">
        <v>29</v>
      </c>
      <c r="AJ135" s="164" t="s">
        <v>48</v>
      </c>
      <c r="AK135" s="166" t="s">
        <v>31</v>
      </c>
      <c r="AL135" s="166" t="s">
        <v>28</v>
      </c>
      <c r="AM135" s="166" t="s">
        <v>28</v>
      </c>
      <c r="AN135" s="166"/>
      <c r="AO135" s="17">
        <f>COUNTIF(Tabla115[[#This Row],[1L]:[Columna1]],"D12")</f>
        <v>10</v>
      </c>
      <c r="AP135" s="17">
        <f>COUNTIF(Tabla115[[#This Row],[1L]:[Columna1]],"N12")</f>
        <v>10</v>
      </c>
      <c r="AQ135" s="18">
        <f>COUNTBLANK(Tabla115[[#This Row],[1L]:[Columna1]])</f>
        <v>5</v>
      </c>
      <c r="AR135" s="276">
        <v>0.25</v>
      </c>
      <c r="AS135" s="278"/>
      <c r="AT135" s="276">
        <v>0.75</v>
      </c>
      <c r="AU135" s="277"/>
      <c r="AV135" s="278"/>
      <c r="AW135" s="4"/>
    </row>
    <row r="136" spans="1:49" x14ac:dyDescent="0.25">
      <c r="F136" s="205">
        <v>32143746</v>
      </c>
      <c r="G136" s="209" t="s">
        <v>75</v>
      </c>
      <c r="H136" s="15">
        <v>2026</v>
      </c>
      <c r="I136" s="15" t="s">
        <v>163</v>
      </c>
      <c r="J136" s="166" t="s">
        <v>28</v>
      </c>
      <c r="K136" s="166" t="s">
        <v>28</v>
      </c>
      <c r="L136" s="166" t="s">
        <v>29</v>
      </c>
      <c r="M136" s="166" t="s">
        <v>29</v>
      </c>
      <c r="N136" s="164"/>
      <c r="O136" s="166" t="s">
        <v>31</v>
      </c>
      <c r="P136" s="166" t="s">
        <v>28</v>
      </c>
      <c r="Q136" s="166" t="s">
        <v>28</v>
      </c>
      <c r="R136" s="166" t="s">
        <v>29</v>
      </c>
      <c r="S136" s="166" t="s">
        <v>29</v>
      </c>
      <c r="T136" s="164"/>
      <c r="U136" s="166" t="s">
        <v>31</v>
      </c>
      <c r="V136" s="166" t="s">
        <v>28</v>
      </c>
      <c r="W136" s="166" t="s">
        <v>28</v>
      </c>
      <c r="X136" s="166" t="s">
        <v>29</v>
      </c>
      <c r="Y136" s="166" t="s">
        <v>29</v>
      </c>
      <c r="Z136" s="164" t="s">
        <v>48</v>
      </c>
      <c r="AA136" s="166" t="s">
        <v>31</v>
      </c>
      <c r="AB136" s="166" t="s">
        <v>28</v>
      </c>
      <c r="AC136" s="166" t="s">
        <v>28</v>
      </c>
      <c r="AD136" s="166" t="s">
        <v>29</v>
      </c>
      <c r="AE136" s="166" t="s">
        <v>29</v>
      </c>
      <c r="AF136" s="164"/>
      <c r="AG136" s="166" t="s">
        <v>31</v>
      </c>
      <c r="AH136" s="166" t="s">
        <v>28</v>
      </c>
      <c r="AI136" s="166" t="s">
        <v>28</v>
      </c>
      <c r="AJ136" s="166" t="s">
        <v>29</v>
      </c>
      <c r="AK136" s="166" t="s">
        <v>29</v>
      </c>
      <c r="AL136" s="164"/>
      <c r="AM136" s="166" t="s">
        <v>31</v>
      </c>
      <c r="AN136" s="166"/>
      <c r="AO136" s="17">
        <f>COUNTIF(Tabla115[[#This Row],[1L]:[Columna1]],"D12")</f>
        <v>10</v>
      </c>
      <c r="AP136" s="17">
        <f>COUNTIF(Tabla115[[#This Row],[1L]:[Columna1]],"N12")</f>
        <v>10</v>
      </c>
      <c r="AQ136" s="18">
        <f>COUNTBLANK(Tabla115[[#This Row],[1L]:[Columna1]])</f>
        <v>5</v>
      </c>
      <c r="AR136" s="19"/>
      <c r="AS136" s="22"/>
      <c r="AT136" s="19"/>
      <c r="AU136" s="23"/>
      <c r="AV136" s="22"/>
      <c r="AW136" s="4"/>
    </row>
    <row r="137" spans="1:49" x14ac:dyDescent="0.25">
      <c r="F137" s="205">
        <v>84033659</v>
      </c>
      <c r="G137" s="209" t="s">
        <v>76</v>
      </c>
      <c r="H137" s="15">
        <v>2026</v>
      </c>
      <c r="I137" s="15" t="s">
        <v>163</v>
      </c>
      <c r="J137" s="164"/>
      <c r="K137" s="166" t="s">
        <v>31</v>
      </c>
      <c r="L137" s="160" t="s">
        <v>28</v>
      </c>
      <c r="M137" s="160" t="s">
        <v>28</v>
      </c>
      <c r="N137" s="163" t="s">
        <v>29</v>
      </c>
      <c r="O137" s="163" t="s">
        <v>29</v>
      </c>
      <c r="P137" s="161" t="s">
        <v>48</v>
      </c>
      <c r="Q137" s="163" t="s">
        <v>31</v>
      </c>
      <c r="R137" s="166" t="s">
        <v>28</v>
      </c>
      <c r="S137" s="166" t="s">
        <v>28</v>
      </c>
      <c r="T137" s="166" t="s">
        <v>29</v>
      </c>
      <c r="U137" s="166" t="s">
        <v>29</v>
      </c>
      <c r="V137" s="164"/>
      <c r="W137" s="166" t="s">
        <v>31</v>
      </c>
      <c r="X137" s="166" t="s">
        <v>28</v>
      </c>
      <c r="Y137" s="166" t="s">
        <v>28</v>
      </c>
      <c r="Z137" s="166" t="s">
        <v>29</v>
      </c>
      <c r="AA137" s="166" t="s">
        <v>29</v>
      </c>
      <c r="AB137" s="164" t="s">
        <v>48</v>
      </c>
      <c r="AC137" s="166" t="s">
        <v>31</v>
      </c>
      <c r="AD137" s="166" t="s">
        <v>28</v>
      </c>
      <c r="AE137" s="166" t="s">
        <v>28</v>
      </c>
      <c r="AF137" s="166" t="s">
        <v>29</v>
      </c>
      <c r="AG137" s="166" t="s">
        <v>29</v>
      </c>
      <c r="AH137" s="164"/>
      <c r="AI137" s="166" t="s">
        <v>31</v>
      </c>
      <c r="AJ137" s="166" t="s">
        <v>28</v>
      </c>
      <c r="AK137" s="166" t="s">
        <v>28</v>
      </c>
      <c r="AL137" s="163" t="s">
        <v>29</v>
      </c>
      <c r="AM137" s="163" t="s">
        <v>29</v>
      </c>
      <c r="AN137" s="163"/>
      <c r="AO137" s="17">
        <f>COUNTIF(Tabla115[[#This Row],[1L]:[Columna1]],"D12")</f>
        <v>10</v>
      </c>
      <c r="AP137" s="17">
        <f>COUNTIF(Tabla115[[#This Row],[1L]:[Columna1]],"N12")</f>
        <v>10</v>
      </c>
      <c r="AQ137" s="27">
        <f>COUNTBLANK(Tabla115[[#This Row],[1L]:[Columna1]])</f>
        <v>4</v>
      </c>
      <c r="AR137" s="19"/>
      <c r="AS137" s="22"/>
      <c r="AT137" s="19"/>
      <c r="AU137" s="23"/>
      <c r="AV137" s="22"/>
      <c r="AW137" s="4"/>
    </row>
    <row r="138" spans="1:49" x14ac:dyDescent="0.25">
      <c r="F138" s="88"/>
      <c r="G138" s="203"/>
      <c r="H138" s="15">
        <v>2026</v>
      </c>
      <c r="I138" s="15" t="s">
        <v>163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18"/>
      <c r="AO138" s="17">
        <f>COUNTIF(Tabla115[[#This Row],[1L]:[Columna1]],"D12")</f>
        <v>0</v>
      </c>
      <c r="AP138" s="17">
        <f>COUNTIF(Tabla115[[#This Row],[1L]:[Columna1]],"N12")</f>
        <v>0</v>
      </c>
      <c r="AQ138" s="27">
        <f>COUNTBLANK(Tabla115[[#This Row],[1L]:[Columna1]])</f>
        <v>31</v>
      </c>
      <c r="AR138" s="19"/>
      <c r="AS138" s="23"/>
      <c r="AT138" s="19"/>
      <c r="AU138" s="23"/>
      <c r="AV138" s="22"/>
      <c r="AW138" s="4"/>
    </row>
    <row r="139" spans="1:49" ht="18.75" x14ac:dyDescent="0.25">
      <c r="F139" s="32"/>
      <c r="G139" s="1"/>
      <c r="H139" s="15">
        <v>2026</v>
      </c>
      <c r="I139" s="15" t="s">
        <v>163</v>
      </c>
      <c r="J139" s="150">
        <f t="shared" ref="J139:AM139" si="8">COUNTIF(J135:J137,"D12")</f>
        <v>1</v>
      </c>
      <c r="K139" s="150">
        <f t="shared" si="8"/>
        <v>1</v>
      </c>
      <c r="L139" s="150">
        <f t="shared" si="8"/>
        <v>1</v>
      </c>
      <c r="M139" s="150">
        <f t="shared" si="8"/>
        <v>1</v>
      </c>
      <c r="N139" s="150">
        <f t="shared" si="8"/>
        <v>1</v>
      </c>
      <c r="O139" s="150">
        <f t="shared" si="8"/>
        <v>1</v>
      </c>
      <c r="P139" s="150">
        <f t="shared" si="8"/>
        <v>1</v>
      </c>
      <c r="Q139" s="150">
        <f t="shared" si="8"/>
        <v>1</v>
      </c>
      <c r="R139" s="150">
        <f t="shared" si="8"/>
        <v>1</v>
      </c>
      <c r="S139" s="150">
        <f t="shared" si="8"/>
        <v>1</v>
      </c>
      <c r="T139" s="150">
        <f t="shared" si="8"/>
        <v>1</v>
      </c>
      <c r="U139" s="150">
        <f t="shared" si="8"/>
        <v>1</v>
      </c>
      <c r="V139" s="150">
        <f t="shared" si="8"/>
        <v>1</v>
      </c>
      <c r="W139" s="150">
        <f t="shared" si="8"/>
        <v>1</v>
      </c>
      <c r="X139" s="150">
        <f t="shared" si="8"/>
        <v>1</v>
      </c>
      <c r="Y139" s="150">
        <f t="shared" si="8"/>
        <v>1</v>
      </c>
      <c r="Z139" s="150">
        <f t="shared" si="8"/>
        <v>1</v>
      </c>
      <c r="AA139" s="150">
        <f t="shared" si="8"/>
        <v>1</v>
      </c>
      <c r="AB139" s="150">
        <f t="shared" si="8"/>
        <v>1</v>
      </c>
      <c r="AC139" s="150">
        <f t="shared" si="8"/>
        <v>1</v>
      </c>
      <c r="AD139" s="150">
        <f t="shared" si="8"/>
        <v>1</v>
      </c>
      <c r="AE139" s="150">
        <f t="shared" si="8"/>
        <v>1</v>
      </c>
      <c r="AF139" s="150">
        <f t="shared" si="8"/>
        <v>1</v>
      </c>
      <c r="AG139" s="150">
        <f t="shared" si="8"/>
        <v>1</v>
      </c>
      <c r="AH139" s="150">
        <f t="shared" si="8"/>
        <v>1</v>
      </c>
      <c r="AI139" s="150">
        <f t="shared" si="8"/>
        <v>1</v>
      </c>
      <c r="AJ139" s="150">
        <f t="shared" si="8"/>
        <v>1</v>
      </c>
      <c r="AK139" s="150">
        <f t="shared" si="8"/>
        <v>1</v>
      </c>
      <c r="AL139" s="150">
        <f t="shared" si="8"/>
        <v>1</v>
      </c>
      <c r="AM139" s="150">
        <f t="shared" si="8"/>
        <v>1</v>
      </c>
      <c r="AN139" s="150">
        <f>COUNTIF(AN132:AN137,"D12")</f>
        <v>0</v>
      </c>
      <c r="AO139" s="33"/>
      <c r="AP139" s="33"/>
      <c r="AQ139" s="34"/>
      <c r="AR139" s="355"/>
      <c r="AS139" s="356"/>
      <c r="AT139" s="355"/>
      <c r="AU139" s="356"/>
      <c r="AV139" s="357"/>
      <c r="AW139" s="4"/>
    </row>
    <row r="140" spans="1:49" ht="18.75" x14ac:dyDescent="0.25">
      <c r="F140" s="35"/>
      <c r="G140" s="36"/>
      <c r="H140" s="15">
        <v>2026</v>
      </c>
      <c r="I140" s="15" t="s">
        <v>163</v>
      </c>
      <c r="J140" s="151">
        <f t="shared" ref="J140:AM140" si="9">COUNTIF(J135:J137,"N12")</f>
        <v>1</v>
      </c>
      <c r="K140" s="151">
        <f t="shared" si="9"/>
        <v>1</v>
      </c>
      <c r="L140" s="151">
        <f t="shared" si="9"/>
        <v>1</v>
      </c>
      <c r="M140" s="151">
        <f t="shared" si="9"/>
        <v>1</v>
      </c>
      <c r="N140" s="151">
        <f t="shared" si="9"/>
        <v>1</v>
      </c>
      <c r="O140" s="151">
        <f t="shared" si="9"/>
        <v>1</v>
      </c>
      <c r="P140" s="151">
        <f t="shared" si="9"/>
        <v>1</v>
      </c>
      <c r="Q140" s="151">
        <f t="shared" si="9"/>
        <v>1</v>
      </c>
      <c r="R140" s="151">
        <f t="shared" si="9"/>
        <v>1</v>
      </c>
      <c r="S140" s="151">
        <f t="shared" si="9"/>
        <v>1</v>
      </c>
      <c r="T140" s="151">
        <f t="shared" si="9"/>
        <v>1</v>
      </c>
      <c r="U140" s="151">
        <f t="shared" si="9"/>
        <v>1</v>
      </c>
      <c r="V140" s="151">
        <f t="shared" si="9"/>
        <v>1</v>
      </c>
      <c r="W140" s="151">
        <f t="shared" si="9"/>
        <v>1</v>
      </c>
      <c r="X140" s="151">
        <f t="shared" si="9"/>
        <v>1</v>
      </c>
      <c r="Y140" s="151">
        <f t="shared" si="9"/>
        <v>1</v>
      </c>
      <c r="Z140" s="151">
        <f t="shared" si="9"/>
        <v>1</v>
      </c>
      <c r="AA140" s="151">
        <f t="shared" si="9"/>
        <v>1</v>
      </c>
      <c r="AB140" s="151">
        <f t="shared" si="9"/>
        <v>1</v>
      </c>
      <c r="AC140" s="151">
        <f t="shared" si="9"/>
        <v>1</v>
      </c>
      <c r="AD140" s="151">
        <f t="shared" si="9"/>
        <v>1</v>
      </c>
      <c r="AE140" s="151">
        <f t="shared" si="9"/>
        <v>1</v>
      </c>
      <c r="AF140" s="151">
        <f t="shared" si="9"/>
        <v>1</v>
      </c>
      <c r="AG140" s="151">
        <f t="shared" si="9"/>
        <v>1</v>
      </c>
      <c r="AH140" s="151">
        <f t="shared" si="9"/>
        <v>1</v>
      </c>
      <c r="AI140" s="151">
        <f t="shared" si="9"/>
        <v>1</v>
      </c>
      <c r="AJ140" s="151">
        <f t="shared" si="9"/>
        <v>1</v>
      </c>
      <c r="AK140" s="151">
        <f t="shared" si="9"/>
        <v>1</v>
      </c>
      <c r="AL140" s="151">
        <f t="shared" si="9"/>
        <v>1</v>
      </c>
      <c r="AM140" s="151">
        <f t="shared" si="9"/>
        <v>1</v>
      </c>
      <c r="AN140" s="151">
        <f>COUNTIF(AN132:AN137,"N12")</f>
        <v>0</v>
      </c>
      <c r="AO140" s="38"/>
      <c r="AP140" s="38"/>
      <c r="AQ140" s="34"/>
      <c r="AR140" s="4"/>
      <c r="AS140" s="4"/>
      <c r="AT140" s="4"/>
      <c r="AU140" s="4"/>
      <c r="AV140" s="4"/>
      <c r="AW140" s="4"/>
    </row>
    <row r="141" spans="1:49" s="39" customFormat="1" ht="15" customHeight="1" x14ac:dyDescent="0.25">
      <c r="F141" s="89"/>
      <c r="G141" s="51"/>
      <c r="H141" s="100"/>
      <c r="I141" s="100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>
        <f>COUNTIF(Tabla115[[#This Row],[1L]:[Columna1]],"D12")</f>
        <v>0</v>
      </c>
      <c r="AP141" s="33">
        <f>COUNTIF(Tabla115[[#This Row],[1L]:[Columna1]],"N12")</f>
        <v>0</v>
      </c>
      <c r="AQ141" s="33">
        <f>COUNTBLANK(Tabla115[[#This Row],[1L]:[Columna1]])</f>
        <v>31</v>
      </c>
    </row>
    <row r="142" spans="1:49" s="39" customFormat="1" ht="15" customHeight="1" x14ac:dyDescent="0.25">
      <c r="F142" s="89"/>
      <c r="G142" s="51"/>
      <c r="H142" s="100"/>
      <c r="I142" s="100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</row>
    <row r="143" spans="1:49" s="39" customFormat="1" ht="15" customHeight="1" x14ac:dyDescent="0.25">
      <c r="G143" s="51"/>
      <c r="H143" s="301" t="s">
        <v>36</v>
      </c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3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53"/>
      <c r="AO143" s="54"/>
      <c r="AP143" s="54"/>
      <c r="AQ143" s="54"/>
    </row>
    <row r="144" spans="1:49" s="39" customFormat="1" ht="15" customHeight="1" x14ac:dyDescent="0.25">
      <c r="G144" s="51"/>
      <c r="H144" s="304" t="s">
        <v>37</v>
      </c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  <c r="AA144" s="306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91"/>
      <c r="AM144" s="91"/>
      <c r="AN144" s="53"/>
      <c r="AO144" s="54"/>
      <c r="AP144" s="54"/>
      <c r="AQ144" s="54"/>
    </row>
    <row r="145" spans="1:49" s="39" customFormat="1" ht="15" customHeight="1" x14ac:dyDescent="0.25">
      <c r="G145" s="51"/>
      <c r="H145" s="304" t="s">
        <v>38</v>
      </c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306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53"/>
      <c r="AO145" s="54"/>
      <c r="AP145" s="54"/>
      <c r="AQ145" s="54"/>
    </row>
    <row r="146" spans="1:49" s="39" customFormat="1" ht="15" customHeight="1" x14ac:dyDescent="0.25">
      <c r="G146" s="5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53"/>
      <c r="AO146" s="54"/>
      <c r="AP146" s="54"/>
      <c r="AQ146" s="54"/>
    </row>
    <row r="147" spans="1:49" s="45" customFormat="1" ht="15" customHeight="1" x14ac:dyDescent="0.25">
      <c r="G147" s="66"/>
      <c r="H147" s="42"/>
      <c r="I147" s="346" t="s">
        <v>39</v>
      </c>
      <c r="J147" s="347"/>
      <c r="K147" s="347"/>
      <c r="L147" s="348"/>
      <c r="M147" s="43"/>
      <c r="N147" s="346" t="s">
        <v>40</v>
      </c>
      <c r="O147" s="347"/>
      <c r="P147" s="347"/>
      <c r="Q147" s="347"/>
      <c r="R147" s="348"/>
      <c r="S147" s="300" t="s">
        <v>13</v>
      </c>
      <c r="T147" s="300"/>
      <c r="U147" s="300" t="s">
        <v>14</v>
      </c>
      <c r="V147" s="300"/>
      <c r="W147" s="300"/>
      <c r="X147" s="1"/>
      <c r="Y147" s="1"/>
      <c r="Z147" s="1"/>
      <c r="AA147" s="1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67"/>
      <c r="AO147" s="68"/>
      <c r="AP147" s="68"/>
      <c r="AQ147" s="68"/>
    </row>
    <row r="148" spans="1:49" s="39" customFormat="1" ht="15" customHeight="1" x14ac:dyDescent="0.25">
      <c r="G148" s="51"/>
      <c r="H148" s="46" t="s">
        <v>32</v>
      </c>
      <c r="I148" s="279" t="s">
        <v>41</v>
      </c>
      <c r="J148" s="280"/>
      <c r="K148" s="280"/>
      <c r="L148" s="281"/>
      <c r="M148" s="47" t="s">
        <v>42</v>
      </c>
      <c r="N148" s="279" t="s">
        <v>43</v>
      </c>
      <c r="O148" s="280"/>
      <c r="P148" s="280"/>
      <c r="Q148" s="280"/>
      <c r="R148" s="281"/>
      <c r="S148" s="353">
        <v>0.75</v>
      </c>
      <c r="T148" s="354"/>
      <c r="U148" s="353">
        <v>0.25</v>
      </c>
      <c r="V148" s="354"/>
      <c r="W148" s="354"/>
      <c r="X148" s="1"/>
      <c r="Y148" s="1"/>
      <c r="Z148" s="1"/>
      <c r="AA148" s="1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53"/>
      <c r="AO148" s="54"/>
      <c r="AP148" s="54"/>
      <c r="AQ148" s="54"/>
    </row>
    <row r="149" spans="1:49" s="39" customFormat="1" ht="15" customHeight="1" x14ac:dyDescent="0.25">
      <c r="G149" s="51"/>
      <c r="H149" s="48" t="s">
        <v>44</v>
      </c>
      <c r="I149" s="279" t="s">
        <v>45</v>
      </c>
      <c r="J149" s="280"/>
      <c r="K149" s="280"/>
      <c r="L149" s="281"/>
      <c r="M149" s="49" t="s">
        <v>46</v>
      </c>
      <c r="N149" s="279" t="s">
        <v>47</v>
      </c>
      <c r="O149" s="280"/>
      <c r="P149" s="280"/>
      <c r="Q149" s="280"/>
      <c r="R149" s="281"/>
      <c r="S149" s="338">
        <v>0.25</v>
      </c>
      <c r="T149" s="339"/>
      <c r="U149" s="338">
        <v>0.75</v>
      </c>
      <c r="V149" s="339"/>
      <c r="W149" s="339"/>
      <c r="X149" s="1"/>
      <c r="Y149" s="1"/>
      <c r="Z149" s="1"/>
      <c r="AA149" s="1"/>
      <c r="AB149" s="52"/>
      <c r="AC149" s="52"/>
      <c r="AD149" s="52"/>
      <c r="AE149" s="52"/>
      <c r="AF149" s="52"/>
      <c r="AG149" s="52"/>
      <c r="AH149" s="52"/>
      <c r="AJ149" s="53"/>
      <c r="AK149" s="53"/>
      <c r="AL149" s="53"/>
      <c r="AM149" s="53"/>
      <c r="AN149" s="53"/>
      <c r="AO149" s="54"/>
      <c r="AP149" s="54"/>
      <c r="AQ149" s="54"/>
    </row>
    <row r="150" spans="1:49" s="39" customFormat="1" ht="15" customHeight="1" x14ac:dyDescent="0.25">
      <c r="G150" s="51"/>
      <c r="H150" s="1" t="s">
        <v>48</v>
      </c>
      <c r="I150" s="279" t="s">
        <v>49</v>
      </c>
      <c r="J150" s="280"/>
      <c r="K150" s="280"/>
      <c r="L150" s="281"/>
      <c r="M150" s="39" t="s">
        <v>50</v>
      </c>
      <c r="N150" s="279" t="s">
        <v>51</v>
      </c>
      <c r="O150" s="280"/>
      <c r="P150" s="280"/>
      <c r="Q150" s="280"/>
      <c r="R150" s="281"/>
      <c r="S150" s="276"/>
      <c r="T150" s="282"/>
      <c r="U150" s="276"/>
      <c r="V150" s="327"/>
      <c r="W150" s="282"/>
      <c r="X150" s="1"/>
      <c r="Y150" s="1"/>
      <c r="Z150" s="1"/>
      <c r="AA150" s="1"/>
      <c r="AB150" s="52"/>
      <c r="AC150" s="52"/>
      <c r="AD150" s="52"/>
      <c r="AE150" s="52"/>
      <c r="AF150" s="52"/>
      <c r="AG150" s="52"/>
      <c r="AH150" s="52"/>
      <c r="AJ150" s="53"/>
      <c r="AK150" s="53"/>
      <c r="AL150" s="53"/>
      <c r="AM150" s="53"/>
      <c r="AN150" s="53"/>
      <c r="AO150" s="54"/>
      <c r="AP150" s="54"/>
      <c r="AQ150" s="54"/>
    </row>
    <row r="151" spans="1:49" s="39" customFormat="1" ht="15" customHeight="1" x14ac:dyDescent="0.25">
      <c r="G151" s="51"/>
      <c r="H151" s="1" t="s">
        <v>29</v>
      </c>
      <c r="I151" s="279" t="s">
        <v>52</v>
      </c>
      <c r="J151" s="280"/>
      <c r="K151" s="280"/>
      <c r="L151" s="281"/>
      <c r="M151" s="1" t="s">
        <v>53</v>
      </c>
      <c r="N151" s="279" t="s">
        <v>54</v>
      </c>
      <c r="O151" s="280"/>
      <c r="P151" s="280"/>
      <c r="Q151" s="280"/>
      <c r="R151" s="281"/>
      <c r="S151" s="276"/>
      <c r="T151" s="282"/>
      <c r="U151" s="276"/>
      <c r="V151" s="327"/>
      <c r="W151" s="282"/>
      <c r="X151" s="1"/>
      <c r="Y151" s="1"/>
      <c r="Z151" s="1"/>
      <c r="AA151" s="1"/>
      <c r="AB151" s="52"/>
      <c r="AC151" s="52"/>
      <c r="AD151" s="52"/>
      <c r="AE151" s="52"/>
      <c r="AF151" s="52"/>
      <c r="AG151" s="52"/>
      <c r="AH151" s="52"/>
      <c r="AJ151" s="53"/>
      <c r="AK151" s="53"/>
      <c r="AL151" s="53"/>
      <c r="AM151" s="53"/>
      <c r="AN151" s="53"/>
      <c r="AO151" s="54"/>
      <c r="AP151" s="54"/>
      <c r="AQ151" s="54"/>
    </row>
    <row r="152" spans="1:49" s="39" customFormat="1" ht="15" customHeight="1" x14ac:dyDescent="0.25">
      <c r="G152" s="51"/>
      <c r="H152" s="36" t="s">
        <v>28</v>
      </c>
      <c r="I152" s="331" t="s">
        <v>55</v>
      </c>
      <c r="J152" s="332"/>
      <c r="K152" s="332"/>
      <c r="L152" s="333"/>
      <c r="M152" s="36" t="s">
        <v>31</v>
      </c>
      <c r="N152" s="331" t="s">
        <v>56</v>
      </c>
      <c r="O152" s="332"/>
      <c r="P152" s="332"/>
      <c r="Q152" s="332"/>
      <c r="R152" s="333"/>
      <c r="S152" s="338"/>
      <c r="T152" s="339"/>
      <c r="U152" s="338"/>
      <c r="V152" s="339"/>
      <c r="W152" s="339"/>
      <c r="X152" s="1"/>
      <c r="Y152" s="1"/>
      <c r="Z152" s="1"/>
      <c r="AA152" s="1"/>
      <c r="AB152" s="52"/>
      <c r="AC152" s="52"/>
      <c r="AD152" s="52"/>
      <c r="AE152" s="52"/>
      <c r="AF152" s="52"/>
      <c r="AG152" s="52"/>
      <c r="AH152" s="52"/>
      <c r="AJ152" s="53"/>
      <c r="AK152" s="53"/>
      <c r="AL152" s="53"/>
      <c r="AM152" s="53"/>
      <c r="AN152" s="53"/>
      <c r="AO152" s="54"/>
      <c r="AP152" s="54"/>
      <c r="AQ152" s="54"/>
    </row>
    <row r="153" spans="1:49" s="39" customFormat="1" ht="15" customHeight="1" x14ac:dyDescent="0.25">
      <c r="G153" s="51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J153" s="53"/>
      <c r="AK153" s="53"/>
      <c r="AL153" s="53"/>
      <c r="AM153" s="53"/>
      <c r="AN153" s="53"/>
      <c r="AO153" s="54"/>
      <c r="AP153" s="54"/>
      <c r="AQ153" s="54"/>
    </row>
    <row r="154" spans="1:49" s="39" customFormat="1" ht="15" customHeight="1" x14ac:dyDescent="0.25">
      <c r="G154" s="51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J154" s="53"/>
      <c r="AK154" s="53"/>
      <c r="AL154" s="53"/>
      <c r="AM154" s="53"/>
      <c r="AN154" s="53"/>
      <c r="AO154" s="54"/>
      <c r="AP154" s="54"/>
      <c r="AQ154" s="54"/>
    </row>
    <row r="155" spans="1:49" s="39" customFormat="1" ht="15" customHeight="1" x14ac:dyDescent="0.25">
      <c r="F155" s="51"/>
      <c r="G155" s="51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3"/>
      <c r="AJ155" s="53"/>
      <c r="AK155" s="53"/>
      <c r="AL155" s="53"/>
      <c r="AM155" s="53"/>
      <c r="AN155" s="53"/>
      <c r="AO155" s="54"/>
      <c r="AP155" s="54"/>
      <c r="AQ155" s="54"/>
    </row>
    <row r="156" spans="1:49" s="39" customFormat="1" ht="15" customHeight="1" x14ac:dyDescent="0.25">
      <c r="G156" s="51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J156" s="53"/>
      <c r="AK156" s="53"/>
      <c r="AL156" s="53"/>
      <c r="AM156" s="53"/>
      <c r="AN156" s="53"/>
      <c r="AO156" s="54"/>
      <c r="AP156" s="54"/>
      <c r="AQ156" s="54"/>
    </row>
    <row r="157" spans="1:49" s="39" customFormat="1" ht="15" customHeight="1" x14ac:dyDescent="0.25">
      <c r="F157" s="51"/>
      <c r="G157" s="51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3"/>
      <c r="AJ157" s="53"/>
      <c r="AK157" s="53"/>
      <c r="AL157" s="53"/>
      <c r="AM157" s="53"/>
      <c r="AN157" s="53"/>
      <c r="AO157" s="54"/>
      <c r="AP157" s="54"/>
      <c r="AQ157" s="54"/>
    </row>
    <row r="158" spans="1:49" s="39" customFormat="1" ht="15" customHeight="1" x14ac:dyDescent="0.25">
      <c r="F158" s="51"/>
      <c r="G158" s="51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3"/>
      <c r="AJ158" s="53"/>
      <c r="AK158" s="53"/>
      <c r="AL158" s="53"/>
      <c r="AM158" s="53"/>
      <c r="AN158" s="53"/>
      <c r="AO158" s="54"/>
      <c r="AP158" s="54"/>
      <c r="AQ158" s="54"/>
    </row>
    <row r="159" spans="1:49" ht="15" customHeight="1" x14ac:dyDescent="0.25">
      <c r="A159" s="41"/>
      <c r="B159" s="41"/>
      <c r="C159" s="41"/>
      <c r="D159" s="41"/>
      <c r="E159" s="41"/>
      <c r="F159" s="349" t="s">
        <v>90</v>
      </c>
      <c r="G159" s="349"/>
      <c r="H159" s="343" t="s">
        <v>1</v>
      </c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344"/>
      <c r="AB159" s="344"/>
      <c r="AC159" s="344"/>
      <c r="AD159" s="344"/>
      <c r="AE159" s="344"/>
      <c r="AF159" s="344"/>
      <c r="AG159" s="344"/>
      <c r="AH159" s="345"/>
      <c r="AI159" s="315" t="s">
        <v>2</v>
      </c>
      <c r="AJ159" s="316"/>
      <c r="AK159" s="316"/>
      <c r="AL159" s="316"/>
      <c r="AM159" s="316"/>
      <c r="AN159" s="317"/>
      <c r="AO159" s="3"/>
      <c r="AP159" s="3"/>
      <c r="AQ159" s="3"/>
      <c r="AR159" s="4"/>
      <c r="AS159" s="4"/>
      <c r="AT159" s="4"/>
      <c r="AU159" s="4"/>
      <c r="AV159" s="4"/>
      <c r="AW159" s="4"/>
    </row>
    <row r="160" spans="1:49" ht="15" customHeight="1" x14ac:dyDescent="0.25">
      <c r="A160" s="1"/>
      <c r="B160" s="1"/>
      <c r="C160" s="1"/>
      <c r="D160" s="1"/>
      <c r="E160" s="1"/>
      <c r="F160" s="349"/>
      <c r="G160" s="349"/>
      <c r="H160" s="343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  <c r="AA160" s="344"/>
      <c r="AB160" s="344"/>
      <c r="AC160" s="344"/>
      <c r="AD160" s="344"/>
      <c r="AE160" s="344"/>
      <c r="AF160" s="344"/>
      <c r="AG160" s="344"/>
      <c r="AH160" s="345"/>
      <c r="AI160" s="318"/>
      <c r="AJ160" s="319"/>
      <c r="AK160" s="319"/>
      <c r="AL160" s="319"/>
      <c r="AM160" s="319"/>
      <c r="AN160" s="320"/>
      <c r="AO160" s="3"/>
      <c r="AP160" s="3"/>
      <c r="AQ160" s="3"/>
      <c r="AR160" s="4"/>
      <c r="AS160" s="4"/>
      <c r="AT160" s="4"/>
      <c r="AU160" s="4"/>
      <c r="AV160" s="4"/>
      <c r="AW160" s="4"/>
    </row>
    <row r="161" spans="1:49" ht="15" customHeight="1" x14ac:dyDescent="0.25">
      <c r="A161" s="1"/>
      <c r="B161" s="1"/>
      <c r="C161" s="1"/>
      <c r="D161" s="1"/>
      <c r="E161" s="1"/>
      <c r="F161" s="349"/>
      <c r="G161" s="349"/>
      <c r="H161" s="5" t="s">
        <v>3</v>
      </c>
      <c r="I161" s="6"/>
      <c r="J161" s="6"/>
      <c r="K161" s="60" t="s">
        <v>4</v>
      </c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1"/>
      <c r="AI161" s="315" t="s">
        <v>5</v>
      </c>
      <c r="AJ161" s="316"/>
      <c r="AK161" s="316"/>
      <c r="AL161" s="316"/>
      <c r="AM161" s="316"/>
      <c r="AN161" s="317"/>
      <c r="AO161" s="3"/>
      <c r="AP161" s="3"/>
      <c r="AQ161" s="3"/>
      <c r="AR161" s="4"/>
      <c r="AS161" s="4"/>
      <c r="AT161" s="4"/>
      <c r="AU161" s="4"/>
      <c r="AV161" s="4"/>
      <c r="AW161" s="4"/>
    </row>
    <row r="162" spans="1:49" ht="15" customHeight="1" x14ac:dyDescent="0.25">
      <c r="A162" s="1"/>
      <c r="B162" s="1"/>
      <c r="C162" s="1"/>
      <c r="D162" s="1"/>
      <c r="E162" s="1"/>
      <c r="F162" s="283" t="s">
        <v>91</v>
      </c>
      <c r="G162" s="284"/>
      <c r="H162" s="5" t="s">
        <v>6</v>
      </c>
      <c r="I162" s="6"/>
      <c r="J162" s="6"/>
      <c r="K162" s="60" t="s">
        <v>7</v>
      </c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1"/>
      <c r="AI162" s="318"/>
      <c r="AJ162" s="319"/>
      <c r="AK162" s="319"/>
      <c r="AL162" s="319"/>
      <c r="AM162" s="319"/>
      <c r="AN162" s="320"/>
      <c r="AO162" s="3"/>
      <c r="AP162" s="3"/>
      <c r="AQ162" s="3"/>
      <c r="AR162" s="4"/>
      <c r="AS162" s="4"/>
      <c r="AT162" s="4"/>
      <c r="AU162" s="4"/>
      <c r="AV162" s="4"/>
      <c r="AW162" s="4"/>
    </row>
    <row r="163" spans="1:49" ht="15" customHeight="1" x14ac:dyDescent="0.25">
      <c r="A163" s="1"/>
      <c r="B163" s="1"/>
      <c r="C163" s="1"/>
      <c r="D163" s="1"/>
      <c r="E163" s="1"/>
      <c r="F163" s="285"/>
      <c r="G163" s="286"/>
      <c r="H163" s="5" t="s">
        <v>8</v>
      </c>
      <c r="I163" s="6"/>
      <c r="J163" s="6"/>
      <c r="K163" s="60" t="s">
        <v>9</v>
      </c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1"/>
      <c r="AI163" s="315" t="s">
        <v>10</v>
      </c>
      <c r="AJ163" s="316"/>
      <c r="AK163" s="316"/>
      <c r="AL163" s="316"/>
      <c r="AM163" s="316"/>
      <c r="AN163" s="317"/>
      <c r="AO163" s="3"/>
      <c r="AP163" s="3"/>
      <c r="AQ163" s="3"/>
      <c r="AR163" s="4"/>
      <c r="AS163" s="4"/>
      <c r="AT163" s="4"/>
      <c r="AU163" s="4"/>
      <c r="AV163" s="4"/>
      <c r="AW163" s="4"/>
    </row>
    <row r="164" spans="1:49" ht="15" customHeight="1" x14ac:dyDescent="0.25">
      <c r="A164" s="1"/>
      <c r="B164" s="1"/>
      <c r="C164" s="1"/>
      <c r="D164" s="1"/>
      <c r="E164" s="1"/>
      <c r="F164" s="287"/>
      <c r="G164" s="288"/>
      <c r="H164" s="62" t="s">
        <v>11</v>
      </c>
      <c r="I164" s="63"/>
      <c r="J164" s="63"/>
      <c r="K164" s="64" t="s">
        <v>12</v>
      </c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5"/>
      <c r="AI164" s="318"/>
      <c r="AJ164" s="319"/>
      <c r="AK164" s="319"/>
      <c r="AL164" s="319"/>
      <c r="AM164" s="319"/>
      <c r="AN164" s="320"/>
      <c r="AO164" s="2"/>
      <c r="AP164" s="2"/>
      <c r="AQ164" s="2"/>
      <c r="AR164" s="300" t="s">
        <v>13</v>
      </c>
      <c r="AS164" s="300"/>
      <c r="AT164" s="300" t="s">
        <v>14</v>
      </c>
      <c r="AU164" s="300"/>
      <c r="AV164" s="300"/>
      <c r="AW164" s="4"/>
    </row>
    <row r="165" spans="1:49" ht="18.75" x14ac:dyDescent="0.25">
      <c r="A165" s="7" t="s">
        <v>15</v>
      </c>
      <c r="B165" s="8" t="s">
        <v>16</v>
      </c>
      <c r="C165" s="9" t="s">
        <v>17</v>
      </c>
      <c r="D165" s="9" t="s">
        <v>18</v>
      </c>
      <c r="E165" s="9" t="s">
        <v>19</v>
      </c>
      <c r="F165" s="10" t="s">
        <v>20</v>
      </c>
      <c r="G165" s="7" t="s">
        <v>21</v>
      </c>
      <c r="H165" s="7" t="s">
        <v>22</v>
      </c>
      <c r="I165" s="7" t="s">
        <v>23</v>
      </c>
      <c r="J165" s="247" t="s">
        <v>132</v>
      </c>
      <c r="K165" s="247" t="s">
        <v>133</v>
      </c>
      <c r="L165" s="247" t="s">
        <v>134</v>
      </c>
      <c r="M165" s="247" t="s">
        <v>135</v>
      </c>
      <c r="N165" s="247" t="s">
        <v>136</v>
      </c>
      <c r="O165" s="247" t="s">
        <v>137</v>
      </c>
      <c r="P165" s="155" t="s">
        <v>138</v>
      </c>
      <c r="Q165" s="155" t="s">
        <v>139</v>
      </c>
      <c r="R165" s="247" t="s">
        <v>140</v>
      </c>
      <c r="S165" s="247" t="s">
        <v>141</v>
      </c>
      <c r="T165" s="247" t="s">
        <v>142</v>
      </c>
      <c r="U165" s="247" t="s">
        <v>143</v>
      </c>
      <c r="V165" s="247" t="s">
        <v>144</v>
      </c>
      <c r="W165" s="155" t="s">
        <v>145</v>
      </c>
      <c r="X165" s="155" t="s">
        <v>146</v>
      </c>
      <c r="Y165" s="247" t="s">
        <v>147</v>
      </c>
      <c r="Z165" s="247" t="s">
        <v>148</v>
      </c>
      <c r="AA165" s="247" t="s">
        <v>149</v>
      </c>
      <c r="AB165" s="247" t="s">
        <v>150</v>
      </c>
      <c r="AC165" s="247" t="s">
        <v>151</v>
      </c>
      <c r="AD165" s="155" t="s">
        <v>152</v>
      </c>
      <c r="AE165" s="247" t="s">
        <v>153</v>
      </c>
      <c r="AF165" s="247" t="s">
        <v>154</v>
      </c>
      <c r="AG165" s="247" t="s">
        <v>155</v>
      </c>
      <c r="AH165" s="248" t="s">
        <v>156</v>
      </c>
      <c r="AI165" s="247" t="s">
        <v>157</v>
      </c>
      <c r="AJ165" s="247" t="s">
        <v>158</v>
      </c>
      <c r="AK165" s="155" t="s">
        <v>159</v>
      </c>
      <c r="AL165" s="155" t="s">
        <v>160</v>
      </c>
      <c r="AM165" s="247" t="s">
        <v>161</v>
      </c>
      <c r="AN165" s="249" t="s">
        <v>162</v>
      </c>
      <c r="AO165" s="11" t="s">
        <v>24</v>
      </c>
      <c r="AP165" s="11" t="s">
        <v>25</v>
      </c>
      <c r="AQ165" s="11" t="s">
        <v>26</v>
      </c>
      <c r="AR165" s="340">
        <v>0.75</v>
      </c>
      <c r="AS165" s="341"/>
      <c r="AT165" s="340">
        <v>0.25</v>
      </c>
      <c r="AU165" s="342"/>
      <c r="AV165" s="341"/>
      <c r="AW165" s="9"/>
    </row>
    <row r="166" spans="1:49" x14ac:dyDescent="0.25">
      <c r="E166" s="93"/>
      <c r="F166" s="206">
        <v>21532552</v>
      </c>
      <c r="G166" s="206" t="s">
        <v>92</v>
      </c>
      <c r="H166" s="15">
        <v>2026</v>
      </c>
      <c r="I166" s="15" t="s">
        <v>163</v>
      </c>
      <c r="J166" s="187" t="s">
        <v>28</v>
      </c>
      <c r="K166" s="187" t="s">
        <v>28</v>
      </c>
      <c r="L166" s="187" t="s">
        <v>28</v>
      </c>
      <c r="M166" s="187" t="s">
        <v>28</v>
      </c>
      <c r="N166" s="187" t="s">
        <v>28</v>
      </c>
      <c r="O166" s="161"/>
      <c r="P166" s="161"/>
      <c r="Q166" s="162"/>
      <c r="R166" s="187" t="s">
        <v>28</v>
      </c>
      <c r="S166" s="187" t="s">
        <v>28</v>
      </c>
      <c r="T166" s="187" t="s">
        <v>28</v>
      </c>
      <c r="U166" s="187" t="s">
        <v>28</v>
      </c>
      <c r="V166" s="187" t="s">
        <v>28</v>
      </c>
      <c r="W166" s="188" t="s">
        <v>28</v>
      </c>
      <c r="X166" s="187" t="s">
        <v>28</v>
      </c>
      <c r="Y166" s="187" t="s">
        <v>28</v>
      </c>
      <c r="Z166" s="187" t="s">
        <v>28</v>
      </c>
      <c r="AA166" s="187" t="s">
        <v>28</v>
      </c>
      <c r="AB166" s="187" t="s">
        <v>28</v>
      </c>
      <c r="AC166" s="188" t="s">
        <v>28</v>
      </c>
      <c r="AD166" s="164"/>
      <c r="AE166" s="164"/>
      <c r="AF166" s="165"/>
      <c r="AG166" s="187" t="s">
        <v>28</v>
      </c>
      <c r="AH166" s="187" t="s">
        <v>28</v>
      </c>
      <c r="AI166" s="187" t="s">
        <v>28</v>
      </c>
      <c r="AJ166" s="187" t="s">
        <v>28</v>
      </c>
      <c r="AK166" s="187" t="s">
        <v>28</v>
      </c>
      <c r="AL166" s="188" t="s">
        <v>28</v>
      </c>
      <c r="AM166" s="187" t="s">
        <v>28</v>
      </c>
      <c r="AN166" s="187"/>
      <c r="AO166" s="17">
        <f>COUNTIF(Tabla127[[#This Row],[1L]:[Columna1]],"D12")</f>
        <v>24</v>
      </c>
      <c r="AP166" s="17">
        <f>COUNTIF(Tabla127[[#This Row],[1L]:[Columna1]],"N12")</f>
        <v>0</v>
      </c>
      <c r="AQ166" s="18">
        <f>COUNTBLANK(Tabla127[[#This Row],[1L]:[Columna1]])</f>
        <v>7</v>
      </c>
      <c r="AR166" s="19"/>
      <c r="AS166" s="22"/>
      <c r="AT166" s="19"/>
      <c r="AU166" s="23"/>
      <c r="AV166" s="22"/>
      <c r="AW166" s="4"/>
    </row>
    <row r="167" spans="1:49" x14ac:dyDescent="0.25">
      <c r="E167" s="93"/>
      <c r="F167" s="94">
        <v>1017235942</v>
      </c>
      <c r="G167" s="94" t="s">
        <v>93</v>
      </c>
      <c r="H167" s="15">
        <v>2026</v>
      </c>
      <c r="I167" s="15" t="s">
        <v>163</v>
      </c>
      <c r="J167" s="166" t="s">
        <v>29</v>
      </c>
      <c r="K167" s="166" t="s">
        <v>29</v>
      </c>
      <c r="L167" s="166" t="s">
        <v>29</v>
      </c>
      <c r="M167" s="166" t="s">
        <v>29</v>
      </c>
      <c r="N167" s="166" t="s">
        <v>29</v>
      </c>
      <c r="O167" s="166" t="s">
        <v>29</v>
      </c>
      <c r="P167" s="166" t="s">
        <v>29</v>
      </c>
      <c r="Q167" s="167" t="s">
        <v>29</v>
      </c>
      <c r="R167" s="167" t="s">
        <v>29</v>
      </c>
      <c r="S167" s="167" t="s">
        <v>29</v>
      </c>
      <c r="T167" s="167" t="s">
        <v>29</v>
      </c>
      <c r="U167" s="164"/>
      <c r="V167" s="164"/>
      <c r="W167" s="165"/>
      <c r="X167" s="167" t="s">
        <v>29</v>
      </c>
      <c r="Y167" s="167" t="s">
        <v>29</v>
      </c>
      <c r="Z167" s="167" t="s">
        <v>29</v>
      </c>
      <c r="AA167" s="167" t="s">
        <v>29</v>
      </c>
      <c r="AB167" s="167" t="s">
        <v>29</v>
      </c>
      <c r="AC167" s="167" t="s">
        <v>29</v>
      </c>
      <c r="AD167" s="167" t="s">
        <v>29</v>
      </c>
      <c r="AE167" s="167" t="s">
        <v>29</v>
      </c>
      <c r="AF167" s="167" t="s">
        <v>29</v>
      </c>
      <c r="AG167" s="167" t="s">
        <v>29</v>
      </c>
      <c r="AH167" s="167" t="s">
        <v>29</v>
      </c>
      <c r="AI167" s="167" t="s">
        <v>29</v>
      </c>
      <c r="AJ167" s="164"/>
      <c r="AK167" s="164"/>
      <c r="AL167" s="165"/>
      <c r="AM167" s="166" t="s">
        <v>29</v>
      </c>
      <c r="AN167" s="166"/>
      <c r="AO167" s="17">
        <f>COUNTIF(Tabla127[[#This Row],[1L]:[Columna1]],"D12")</f>
        <v>0</v>
      </c>
      <c r="AP167" s="17">
        <f>COUNTIF(Tabla127[[#This Row],[1L]:[Columna1]],"N12")</f>
        <v>24</v>
      </c>
      <c r="AQ167" s="18">
        <f>COUNTBLANK(Tabla127[[#This Row],[1L]:[Columna1]])</f>
        <v>7</v>
      </c>
      <c r="AR167" s="19"/>
      <c r="AS167" s="20"/>
      <c r="AT167" s="19"/>
      <c r="AU167" s="21"/>
      <c r="AV167" s="20"/>
      <c r="AW167" s="4"/>
    </row>
    <row r="168" spans="1:49" x14ac:dyDescent="0.25">
      <c r="E168" s="96"/>
      <c r="F168" s="97">
        <v>1020469805</v>
      </c>
      <c r="G168" s="97" t="s">
        <v>94</v>
      </c>
      <c r="H168" s="15">
        <v>2026</v>
      </c>
      <c r="I168" s="15" t="s">
        <v>163</v>
      </c>
      <c r="J168" s="166" t="s">
        <v>28</v>
      </c>
      <c r="K168" s="166" t="s">
        <v>28</v>
      </c>
      <c r="L168" s="166" t="s">
        <v>29</v>
      </c>
      <c r="M168" s="167" t="s">
        <v>29</v>
      </c>
      <c r="N168" s="166" t="s">
        <v>29</v>
      </c>
      <c r="O168" s="166" t="s">
        <v>29</v>
      </c>
      <c r="P168" s="166" t="s">
        <v>29</v>
      </c>
      <c r="Q168" s="166" t="s">
        <v>29</v>
      </c>
      <c r="R168" s="164"/>
      <c r="S168" s="164"/>
      <c r="T168" s="165"/>
      <c r="U168" s="167" t="s">
        <v>28</v>
      </c>
      <c r="V168" s="167" t="s">
        <v>28</v>
      </c>
      <c r="W168" s="167" t="s">
        <v>28</v>
      </c>
      <c r="X168" s="166" t="s">
        <v>28</v>
      </c>
      <c r="Y168" s="166" t="s">
        <v>28</v>
      </c>
      <c r="Z168" s="166" t="s">
        <v>28</v>
      </c>
      <c r="AA168" s="166" t="s">
        <v>29</v>
      </c>
      <c r="AB168" s="166" t="s">
        <v>29</v>
      </c>
      <c r="AC168" s="166" t="s">
        <v>29</v>
      </c>
      <c r="AD168" s="166" t="s">
        <v>29</v>
      </c>
      <c r="AE168" s="166" t="s">
        <v>29</v>
      </c>
      <c r="AF168" s="166" t="s">
        <v>29</v>
      </c>
      <c r="AG168" s="164"/>
      <c r="AH168" s="164"/>
      <c r="AI168" s="165"/>
      <c r="AJ168" s="167" t="s">
        <v>28</v>
      </c>
      <c r="AK168" s="167" t="s">
        <v>28</v>
      </c>
      <c r="AL168" s="167" t="s">
        <v>28</v>
      </c>
      <c r="AM168" s="166" t="s">
        <v>28</v>
      </c>
      <c r="AN168" s="166"/>
      <c r="AO168" s="17">
        <f>COUNTIF(Tabla127[[#This Row],[1L]:[Columna1]],"D12")</f>
        <v>12</v>
      </c>
      <c r="AP168" s="17">
        <f>COUNTIF(Tabla127[[#This Row],[1L]:[Columna1]],"N12")</f>
        <v>12</v>
      </c>
      <c r="AQ168" s="18">
        <f>COUNTBLANK(Tabla127[[#This Row],[1L]:[Columna1]])</f>
        <v>7</v>
      </c>
      <c r="AR168" s="276"/>
      <c r="AS168" s="282"/>
      <c r="AT168" s="276"/>
      <c r="AU168" s="327"/>
      <c r="AV168" s="282"/>
      <c r="AW168" s="4"/>
    </row>
    <row r="169" spans="1:49" x14ac:dyDescent="0.25">
      <c r="E169" s="24"/>
      <c r="F169" s="98">
        <v>1039287926</v>
      </c>
      <c r="G169" s="98" t="s">
        <v>95</v>
      </c>
      <c r="H169" s="15">
        <v>2026</v>
      </c>
      <c r="I169" s="15" t="s">
        <v>163</v>
      </c>
      <c r="J169" s="166" t="s">
        <v>29</v>
      </c>
      <c r="K169" s="166" t="s">
        <v>29</v>
      </c>
      <c r="L169" s="164"/>
      <c r="M169" s="164"/>
      <c r="N169" s="165"/>
      <c r="O169" s="167" t="s">
        <v>28</v>
      </c>
      <c r="P169" s="167" t="s">
        <v>28</v>
      </c>
      <c r="Q169" s="167" t="s">
        <v>28</v>
      </c>
      <c r="R169" s="167" t="s">
        <v>28</v>
      </c>
      <c r="S169" s="167" t="s">
        <v>28</v>
      </c>
      <c r="T169" s="167" t="s">
        <v>28</v>
      </c>
      <c r="U169" s="166" t="s">
        <v>29</v>
      </c>
      <c r="V169" s="166" t="s">
        <v>29</v>
      </c>
      <c r="W169" s="166" t="s">
        <v>29</v>
      </c>
      <c r="X169" s="166" t="s">
        <v>29</v>
      </c>
      <c r="Y169" s="166" t="s">
        <v>29</v>
      </c>
      <c r="Z169" s="166" t="s">
        <v>29</v>
      </c>
      <c r="AA169" s="164"/>
      <c r="AB169" s="164"/>
      <c r="AC169" s="165"/>
      <c r="AD169" s="166" t="s">
        <v>28</v>
      </c>
      <c r="AE169" s="166" t="s">
        <v>28</v>
      </c>
      <c r="AF169" s="167" t="s">
        <v>28</v>
      </c>
      <c r="AG169" s="167" t="s">
        <v>28</v>
      </c>
      <c r="AH169" s="167" t="s">
        <v>28</v>
      </c>
      <c r="AI169" s="167" t="s">
        <v>28</v>
      </c>
      <c r="AJ169" s="166" t="s">
        <v>29</v>
      </c>
      <c r="AK169" s="166" t="s">
        <v>29</v>
      </c>
      <c r="AL169" s="166" t="s">
        <v>29</v>
      </c>
      <c r="AM169" s="166" t="s">
        <v>29</v>
      </c>
      <c r="AN169" s="166"/>
      <c r="AO169" s="17">
        <f>COUNTIF(Tabla127[[#This Row],[1L]:[Columna1]],"D12")</f>
        <v>12</v>
      </c>
      <c r="AP169" s="17">
        <f>COUNTIF(Tabla127[[#This Row],[1L]:[Columna1]],"N12")</f>
        <v>12</v>
      </c>
      <c r="AQ169" s="18">
        <f>COUNTBLANK(Tabla127[[#This Row],[1L]:[Columna1]])</f>
        <v>7</v>
      </c>
      <c r="AR169" s="338"/>
      <c r="AS169" s="339"/>
      <c r="AT169" s="338"/>
      <c r="AU169" s="339"/>
      <c r="AV169" s="339"/>
      <c r="AW169" s="4"/>
    </row>
    <row r="170" spans="1:49" x14ac:dyDescent="0.25">
      <c r="E170" s="24"/>
      <c r="F170" s="88"/>
      <c r="G170" s="98"/>
      <c r="H170" s="15"/>
      <c r="I170" s="15"/>
      <c r="J170" s="33"/>
      <c r="K170" s="33"/>
      <c r="L170" s="253"/>
      <c r="M170" s="253"/>
      <c r="N170" s="254"/>
      <c r="O170" s="255"/>
      <c r="P170" s="255"/>
      <c r="Q170" s="255"/>
      <c r="R170" s="255"/>
      <c r="S170" s="255"/>
      <c r="T170" s="255"/>
      <c r="U170" s="33"/>
      <c r="V170" s="33"/>
      <c r="W170" s="33"/>
      <c r="X170" s="33"/>
      <c r="Y170" s="33"/>
      <c r="Z170" s="33"/>
      <c r="AA170" s="253"/>
      <c r="AB170" s="253"/>
      <c r="AC170" s="254"/>
      <c r="AD170" s="33"/>
      <c r="AE170" s="33"/>
      <c r="AF170" s="255"/>
      <c r="AG170" s="255"/>
      <c r="AH170" s="255"/>
      <c r="AI170" s="255"/>
      <c r="AJ170" s="33"/>
      <c r="AK170" s="33"/>
      <c r="AL170" s="33"/>
      <c r="AM170" s="33"/>
      <c r="AN170" s="18"/>
      <c r="AO170" s="17">
        <f>COUNTIF(Tabla127[[#This Row],[1L]:[Columna1]],"D12")</f>
        <v>0</v>
      </c>
      <c r="AP170" s="17">
        <f>COUNTIF(Tabla127[[#This Row],[1L]:[Columna1]],"N12")</f>
        <v>0</v>
      </c>
      <c r="AQ170" s="27">
        <f>COUNTBLANK(Tabla127[[#This Row],[1L]:[Columna1]])</f>
        <v>31</v>
      </c>
      <c r="AR170" s="28"/>
      <c r="AS170" s="29"/>
      <c r="AT170" s="28"/>
      <c r="AU170" s="29"/>
      <c r="AV170" s="29"/>
      <c r="AW170" s="4"/>
    </row>
    <row r="171" spans="1:49" x14ac:dyDescent="0.25">
      <c r="E171" s="24"/>
      <c r="F171" s="88"/>
      <c r="G171" s="98"/>
      <c r="H171" s="15"/>
      <c r="I171" s="15"/>
      <c r="J171" s="33"/>
      <c r="K171" s="33"/>
      <c r="L171" s="253"/>
      <c r="M171" s="253"/>
      <c r="N171" s="254"/>
      <c r="O171" s="255"/>
      <c r="P171" s="255"/>
      <c r="Q171" s="255"/>
      <c r="R171" s="255"/>
      <c r="S171" s="255"/>
      <c r="T171" s="255"/>
      <c r="U171" s="33"/>
      <c r="V171" s="33"/>
      <c r="W171" s="33"/>
      <c r="X171" s="33"/>
      <c r="Y171" s="33"/>
      <c r="Z171" s="33"/>
      <c r="AA171" s="253"/>
      <c r="AB171" s="253"/>
      <c r="AC171" s="254"/>
      <c r="AD171" s="33"/>
      <c r="AE171" s="33"/>
      <c r="AF171" s="255"/>
      <c r="AG171" s="255"/>
      <c r="AH171" s="255"/>
      <c r="AI171" s="255"/>
      <c r="AJ171" s="33"/>
      <c r="AK171" s="33"/>
      <c r="AL171" s="33"/>
      <c r="AM171" s="33"/>
      <c r="AN171" s="18"/>
      <c r="AO171" s="17">
        <f>COUNTIF(Tabla127[[#This Row],[1L]:[Columna1]],"D12")</f>
        <v>0</v>
      </c>
      <c r="AP171" s="17">
        <f>COUNTIF(Tabla127[[#This Row],[1L]:[Columna1]],"N12")</f>
        <v>0</v>
      </c>
      <c r="AQ171" s="27">
        <f>COUNTBLANK(Tabla127[[#This Row],[1L]:[Columna1]])</f>
        <v>31</v>
      </c>
      <c r="AR171" s="28"/>
      <c r="AS171" s="29"/>
      <c r="AT171" s="28"/>
      <c r="AU171" s="29"/>
      <c r="AV171" s="29"/>
      <c r="AW171" s="4"/>
    </row>
    <row r="172" spans="1:49" x14ac:dyDescent="0.25">
      <c r="E172" s="99"/>
      <c r="F172" s="203">
        <v>1001165042</v>
      </c>
      <c r="G172" s="98" t="s">
        <v>121</v>
      </c>
      <c r="H172" s="15">
        <v>2026</v>
      </c>
      <c r="I172" s="15" t="s">
        <v>163</v>
      </c>
      <c r="J172" s="164"/>
      <c r="K172" s="165"/>
      <c r="L172" s="166" t="s">
        <v>28</v>
      </c>
      <c r="M172" s="166" t="s">
        <v>28</v>
      </c>
      <c r="N172" s="166" t="s">
        <v>28</v>
      </c>
      <c r="O172" s="166" t="s">
        <v>28</v>
      </c>
      <c r="P172" s="166" t="s">
        <v>28</v>
      </c>
      <c r="Q172" s="166" t="s">
        <v>28</v>
      </c>
      <c r="R172" s="167" t="s">
        <v>29</v>
      </c>
      <c r="S172" s="167" t="s">
        <v>29</v>
      </c>
      <c r="T172" s="167" t="s">
        <v>29</v>
      </c>
      <c r="U172" s="167" t="s">
        <v>29</v>
      </c>
      <c r="V172" s="167" t="s">
        <v>29</v>
      </c>
      <c r="W172" s="167" t="s">
        <v>29</v>
      </c>
      <c r="X172" s="164"/>
      <c r="Y172" s="164"/>
      <c r="Z172" s="165"/>
      <c r="AA172" s="166" t="s">
        <v>28</v>
      </c>
      <c r="AB172" s="166" t="s">
        <v>28</v>
      </c>
      <c r="AC172" s="166" t="s">
        <v>28</v>
      </c>
      <c r="AD172" s="166" t="s">
        <v>28</v>
      </c>
      <c r="AE172" s="166" t="s">
        <v>28</v>
      </c>
      <c r="AF172" s="166" t="s">
        <v>28</v>
      </c>
      <c r="AG172" s="166" t="s">
        <v>29</v>
      </c>
      <c r="AH172" s="167" t="s">
        <v>29</v>
      </c>
      <c r="AI172" s="167" t="s">
        <v>29</v>
      </c>
      <c r="AJ172" s="167" t="s">
        <v>29</v>
      </c>
      <c r="AK172" s="167" t="s">
        <v>29</v>
      </c>
      <c r="AL172" s="167" t="s">
        <v>29</v>
      </c>
      <c r="AM172" s="164"/>
      <c r="AN172" s="166"/>
      <c r="AO172" s="17">
        <f>COUNTIF(Tabla127[[#This Row],[1L]:[Columna1]],"D12")</f>
        <v>12</v>
      </c>
      <c r="AP172" s="17">
        <f>COUNTIF(Tabla127[[#This Row],[1L]:[Columna1]],"N12")</f>
        <v>12</v>
      </c>
      <c r="AQ172" s="27">
        <f>COUNTBLANK(Tabla127[[#This Row],[1L]:[Columna1]])</f>
        <v>7</v>
      </c>
      <c r="AR172" s="4"/>
      <c r="AS172" s="4"/>
      <c r="AT172" s="4"/>
      <c r="AU172" s="4"/>
      <c r="AV172" s="4"/>
      <c r="AW172" s="4"/>
    </row>
    <row r="173" spans="1:49" ht="18.75" x14ac:dyDescent="0.25">
      <c r="F173" s="32"/>
      <c r="G173" s="1"/>
      <c r="H173" s="15">
        <v>2026</v>
      </c>
      <c r="I173" s="15" t="s">
        <v>163</v>
      </c>
      <c r="J173" s="150">
        <f t="shared" ref="J173:AM173" si="10">COUNTIF(J166:J172,"D12")</f>
        <v>2</v>
      </c>
      <c r="K173" s="150">
        <f t="shared" si="10"/>
        <v>2</v>
      </c>
      <c r="L173" s="150">
        <f t="shared" si="10"/>
        <v>2</v>
      </c>
      <c r="M173" s="150">
        <f t="shared" si="10"/>
        <v>2</v>
      </c>
      <c r="N173" s="150">
        <f t="shared" si="10"/>
        <v>2</v>
      </c>
      <c r="O173" s="150">
        <f t="shared" si="10"/>
        <v>2</v>
      </c>
      <c r="P173" s="150">
        <f t="shared" si="10"/>
        <v>2</v>
      </c>
      <c r="Q173" s="150">
        <f t="shared" si="10"/>
        <v>2</v>
      </c>
      <c r="R173" s="150">
        <f t="shared" si="10"/>
        <v>2</v>
      </c>
      <c r="S173" s="150">
        <f t="shared" si="10"/>
        <v>2</v>
      </c>
      <c r="T173" s="150">
        <f t="shared" si="10"/>
        <v>2</v>
      </c>
      <c r="U173" s="150">
        <f t="shared" si="10"/>
        <v>2</v>
      </c>
      <c r="V173" s="150">
        <f t="shared" si="10"/>
        <v>2</v>
      </c>
      <c r="W173" s="150">
        <f t="shared" si="10"/>
        <v>2</v>
      </c>
      <c r="X173" s="150">
        <f t="shared" si="10"/>
        <v>2</v>
      </c>
      <c r="Y173" s="150">
        <f t="shared" si="10"/>
        <v>2</v>
      </c>
      <c r="Z173" s="150">
        <f t="shared" si="10"/>
        <v>2</v>
      </c>
      <c r="AA173" s="150">
        <f t="shared" si="10"/>
        <v>2</v>
      </c>
      <c r="AB173" s="150">
        <f t="shared" si="10"/>
        <v>2</v>
      </c>
      <c r="AC173" s="150">
        <f t="shared" si="10"/>
        <v>2</v>
      </c>
      <c r="AD173" s="150">
        <f t="shared" si="10"/>
        <v>2</v>
      </c>
      <c r="AE173" s="150">
        <f t="shared" si="10"/>
        <v>2</v>
      </c>
      <c r="AF173" s="150">
        <f t="shared" si="10"/>
        <v>2</v>
      </c>
      <c r="AG173" s="150">
        <f t="shared" si="10"/>
        <v>2</v>
      </c>
      <c r="AH173" s="150">
        <f t="shared" si="10"/>
        <v>2</v>
      </c>
      <c r="AI173" s="150">
        <f t="shared" si="10"/>
        <v>2</v>
      </c>
      <c r="AJ173" s="150">
        <f t="shared" si="10"/>
        <v>2</v>
      </c>
      <c r="AK173" s="150">
        <f t="shared" si="10"/>
        <v>2</v>
      </c>
      <c r="AL173" s="150">
        <f t="shared" si="10"/>
        <v>2</v>
      </c>
      <c r="AM173" s="150">
        <f t="shared" si="10"/>
        <v>2</v>
      </c>
      <c r="AN173" s="150">
        <f>COUNTIF(AN165:AN172,"D12")</f>
        <v>0</v>
      </c>
      <c r="AO173" s="33"/>
      <c r="AP173" s="33"/>
      <c r="AQ173" s="34"/>
      <c r="AR173" s="4"/>
      <c r="AS173" s="4"/>
      <c r="AT173" s="4"/>
      <c r="AU173" s="4"/>
      <c r="AV173" s="4"/>
      <c r="AW173" s="4"/>
    </row>
    <row r="174" spans="1:49" ht="18.75" x14ac:dyDescent="0.25">
      <c r="F174" s="35"/>
      <c r="G174" s="36"/>
      <c r="H174" s="15">
        <v>2026</v>
      </c>
      <c r="I174" s="15" t="s">
        <v>163</v>
      </c>
      <c r="J174" s="151">
        <f t="shared" ref="J174:AM174" si="11">COUNTIF(J166:J172,"N12")</f>
        <v>2</v>
      </c>
      <c r="K174" s="150">
        <f t="shared" si="11"/>
        <v>2</v>
      </c>
      <c r="L174" s="150">
        <f t="shared" si="11"/>
        <v>2</v>
      </c>
      <c r="M174" s="150">
        <f t="shared" si="11"/>
        <v>2</v>
      </c>
      <c r="N174" s="150">
        <f t="shared" si="11"/>
        <v>2</v>
      </c>
      <c r="O174" s="150">
        <f t="shared" si="11"/>
        <v>2</v>
      </c>
      <c r="P174" s="150">
        <f t="shared" si="11"/>
        <v>2</v>
      </c>
      <c r="Q174" s="150">
        <f t="shared" si="11"/>
        <v>2</v>
      </c>
      <c r="R174" s="150">
        <f t="shared" si="11"/>
        <v>2</v>
      </c>
      <c r="S174" s="150">
        <f t="shared" si="11"/>
        <v>2</v>
      </c>
      <c r="T174" s="150">
        <f t="shared" si="11"/>
        <v>2</v>
      </c>
      <c r="U174" s="150">
        <f t="shared" si="11"/>
        <v>2</v>
      </c>
      <c r="V174" s="150">
        <f t="shared" si="11"/>
        <v>2</v>
      </c>
      <c r="W174" s="150">
        <f t="shared" si="11"/>
        <v>2</v>
      </c>
      <c r="X174" s="150">
        <f t="shared" si="11"/>
        <v>2</v>
      </c>
      <c r="Y174" s="150">
        <f t="shared" si="11"/>
        <v>2</v>
      </c>
      <c r="Z174" s="150">
        <f t="shared" si="11"/>
        <v>2</v>
      </c>
      <c r="AA174" s="150">
        <f t="shared" si="11"/>
        <v>2</v>
      </c>
      <c r="AB174" s="150">
        <f t="shared" si="11"/>
        <v>2</v>
      </c>
      <c r="AC174" s="150">
        <f t="shared" si="11"/>
        <v>2</v>
      </c>
      <c r="AD174" s="150">
        <f t="shared" si="11"/>
        <v>2</v>
      </c>
      <c r="AE174" s="150">
        <f t="shared" si="11"/>
        <v>2</v>
      </c>
      <c r="AF174" s="150">
        <f t="shared" si="11"/>
        <v>2</v>
      </c>
      <c r="AG174" s="150">
        <f t="shared" si="11"/>
        <v>2</v>
      </c>
      <c r="AH174" s="150">
        <f t="shared" si="11"/>
        <v>2</v>
      </c>
      <c r="AI174" s="150">
        <f t="shared" si="11"/>
        <v>2</v>
      </c>
      <c r="AJ174" s="150">
        <f t="shared" si="11"/>
        <v>2</v>
      </c>
      <c r="AK174" s="150">
        <f t="shared" si="11"/>
        <v>2</v>
      </c>
      <c r="AL174" s="150">
        <f t="shared" si="11"/>
        <v>2</v>
      </c>
      <c r="AM174" s="150">
        <f t="shared" si="11"/>
        <v>2</v>
      </c>
      <c r="AN174" s="151">
        <f>COUNTIF(AN165:AN172,"N12")</f>
        <v>0</v>
      </c>
      <c r="AO174" s="38"/>
      <c r="AP174" s="38"/>
      <c r="AQ174" s="34"/>
      <c r="AR174" s="4"/>
      <c r="AS174" s="4"/>
      <c r="AT174" s="4"/>
      <c r="AU174" s="4"/>
      <c r="AV174" s="4"/>
      <c r="AW174" s="4"/>
    </row>
    <row r="175" spans="1:49" s="39" customFormat="1" x14ac:dyDescent="0.25">
      <c r="A175" s="73"/>
      <c r="B175" s="73"/>
      <c r="C175" s="73"/>
      <c r="D175" s="73"/>
      <c r="F175" s="89"/>
      <c r="H175" s="100"/>
      <c r="I175" s="100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101"/>
      <c r="AO175" s="33"/>
      <c r="AP175" s="33"/>
      <c r="AQ175" s="38">
        <f>COUNTBLANK(Tabla127[[#This Row],[1L]:[Columna1]])</f>
        <v>31</v>
      </c>
    </row>
    <row r="176" spans="1:49" s="39" customFormat="1" x14ac:dyDescent="0.25">
      <c r="F176" s="103"/>
      <c r="G176" s="103"/>
      <c r="H176" s="301" t="s">
        <v>36</v>
      </c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3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53"/>
      <c r="AO176" s="54"/>
      <c r="AP176" s="54"/>
      <c r="AQ176" s="54"/>
    </row>
    <row r="177" spans="6:49" s="39" customFormat="1" x14ac:dyDescent="0.25">
      <c r="F177" s="103"/>
      <c r="G177" s="103"/>
      <c r="H177" s="304" t="s">
        <v>37</v>
      </c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306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53"/>
      <c r="AO177" s="54"/>
      <c r="AP177" s="54"/>
      <c r="AQ177" s="54"/>
    </row>
    <row r="178" spans="6:49" s="39" customFormat="1" x14ac:dyDescent="0.25">
      <c r="F178" s="103"/>
      <c r="G178" s="103"/>
      <c r="H178" s="304" t="s">
        <v>38</v>
      </c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  <c r="AA178" s="306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53"/>
      <c r="AO178" s="54"/>
      <c r="AP178" s="54"/>
      <c r="AQ178" s="54"/>
    </row>
    <row r="179" spans="6:49" s="39" customFormat="1" x14ac:dyDescent="0.25">
      <c r="F179" s="103"/>
      <c r="G179" s="10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53"/>
      <c r="AO179" s="54"/>
      <c r="AP179" s="54"/>
      <c r="AQ179" s="54"/>
    </row>
    <row r="180" spans="6:49" s="39" customFormat="1" x14ac:dyDescent="0.25">
      <c r="F180" s="103"/>
      <c r="G180" s="103"/>
      <c r="H180" s="42"/>
      <c r="I180" s="346" t="s">
        <v>39</v>
      </c>
      <c r="J180" s="347"/>
      <c r="K180" s="347"/>
      <c r="L180" s="348"/>
      <c r="M180" s="43"/>
      <c r="N180" s="346" t="s">
        <v>40</v>
      </c>
      <c r="O180" s="347"/>
      <c r="P180" s="347"/>
      <c r="Q180" s="347"/>
      <c r="R180" s="348"/>
      <c r="S180" s="334" t="s">
        <v>13</v>
      </c>
      <c r="T180" s="334"/>
      <c r="U180" s="334" t="s">
        <v>14</v>
      </c>
      <c r="V180" s="334"/>
      <c r="W180" s="334"/>
      <c r="X180" s="1"/>
      <c r="Y180" s="1"/>
      <c r="Z180" s="1"/>
      <c r="AA180" s="1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53"/>
      <c r="AO180" s="54"/>
      <c r="AP180" s="54"/>
      <c r="AQ180" s="54"/>
    </row>
    <row r="181" spans="6:49" s="39" customFormat="1" x14ac:dyDescent="0.25">
      <c r="F181" s="103"/>
      <c r="G181" s="103"/>
      <c r="H181" s="46" t="s">
        <v>32</v>
      </c>
      <c r="I181" s="279" t="s">
        <v>41</v>
      </c>
      <c r="J181" s="280"/>
      <c r="K181" s="280"/>
      <c r="L181" s="281"/>
      <c r="M181" s="47" t="s">
        <v>42</v>
      </c>
      <c r="N181" s="279" t="s">
        <v>43</v>
      </c>
      <c r="O181" s="280"/>
      <c r="P181" s="280"/>
      <c r="Q181" s="280"/>
      <c r="R181" s="281"/>
      <c r="S181" s="353">
        <v>0.75</v>
      </c>
      <c r="T181" s="354"/>
      <c r="U181" s="353">
        <v>0.25</v>
      </c>
      <c r="V181" s="354"/>
      <c r="W181" s="354"/>
      <c r="X181" s="1"/>
      <c r="Y181" s="1"/>
      <c r="Z181" s="1"/>
      <c r="AA181" s="1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53"/>
      <c r="AO181" s="54"/>
      <c r="AP181" s="54"/>
      <c r="AQ181" s="54"/>
    </row>
    <row r="182" spans="6:49" s="39" customFormat="1" x14ac:dyDescent="0.25">
      <c r="F182" s="103"/>
      <c r="G182" s="103"/>
      <c r="H182" s="48" t="s">
        <v>44</v>
      </c>
      <c r="I182" s="279" t="s">
        <v>45</v>
      </c>
      <c r="J182" s="280"/>
      <c r="K182" s="280"/>
      <c r="L182" s="281"/>
      <c r="M182" s="49" t="s">
        <v>46</v>
      </c>
      <c r="N182" s="279" t="s">
        <v>47</v>
      </c>
      <c r="O182" s="280"/>
      <c r="P182" s="280"/>
      <c r="Q182" s="280"/>
      <c r="R182" s="281"/>
      <c r="S182" s="338">
        <v>0.25</v>
      </c>
      <c r="T182" s="339"/>
      <c r="U182" s="338">
        <v>0.75</v>
      </c>
      <c r="V182" s="339"/>
      <c r="W182" s="339"/>
      <c r="X182" s="1"/>
      <c r="Y182" s="1"/>
      <c r="Z182" s="1"/>
      <c r="AA182" s="1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53"/>
      <c r="AO182" s="54"/>
      <c r="AP182" s="54"/>
      <c r="AQ182" s="54"/>
    </row>
    <row r="183" spans="6:49" s="39" customFormat="1" x14ac:dyDescent="0.25">
      <c r="F183" s="103"/>
      <c r="G183" s="103"/>
      <c r="H183" s="1" t="s">
        <v>48</v>
      </c>
      <c r="I183" s="279" t="s">
        <v>49</v>
      </c>
      <c r="J183" s="280"/>
      <c r="K183" s="280"/>
      <c r="L183" s="281"/>
      <c r="M183" s="39" t="s">
        <v>50</v>
      </c>
      <c r="N183" s="279" t="s">
        <v>51</v>
      </c>
      <c r="O183" s="280"/>
      <c r="P183" s="280"/>
      <c r="Q183" s="280"/>
      <c r="R183" s="281"/>
      <c r="S183" s="276"/>
      <c r="T183" s="282"/>
      <c r="U183" s="276"/>
      <c r="V183" s="327"/>
      <c r="W183" s="282"/>
      <c r="X183" s="1"/>
      <c r="Y183" s="1"/>
      <c r="Z183" s="1"/>
      <c r="AA183" s="1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53"/>
      <c r="AO183" s="54"/>
      <c r="AP183" s="54"/>
      <c r="AQ183" s="54"/>
    </row>
    <row r="184" spans="6:49" s="39" customFormat="1" x14ac:dyDescent="0.25">
      <c r="F184" s="103"/>
      <c r="G184" s="103"/>
      <c r="H184" s="1" t="s">
        <v>29</v>
      </c>
      <c r="I184" s="279" t="s">
        <v>52</v>
      </c>
      <c r="J184" s="280"/>
      <c r="K184" s="280"/>
      <c r="L184" s="281"/>
      <c r="M184" s="1" t="s">
        <v>53</v>
      </c>
      <c r="N184" s="279" t="s">
        <v>54</v>
      </c>
      <c r="O184" s="280"/>
      <c r="P184" s="280"/>
      <c r="Q184" s="280"/>
      <c r="R184" s="281"/>
      <c r="S184" s="276"/>
      <c r="T184" s="282"/>
      <c r="U184" s="276"/>
      <c r="V184" s="327"/>
      <c r="W184" s="282"/>
      <c r="X184" s="1"/>
      <c r="Y184" s="1"/>
      <c r="Z184" s="1"/>
      <c r="AA184" s="1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53"/>
      <c r="AO184" s="54"/>
      <c r="AP184" s="54"/>
      <c r="AQ184" s="54"/>
    </row>
    <row r="185" spans="6:49" s="39" customFormat="1" x14ac:dyDescent="0.25">
      <c r="F185" s="103"/>
      <c r="G185" s="103"/>
      <c r="H185" s="36" t="s">
        <v>28</v>
      </c>
      <c r="I185" s="331" t="s">
        <v>55</v>
      </c>
      <c r="J185" s="332"/>
      <c r="K185" s="332"/>
      <c r="L185" s="333"/>
      <c r="M185" s="36" t="s">
        <v>31</v>
      </c>
      <c r="N185" s="331" t="s">
        <v>56</v>
      </c>
      <c r="O185" s="332"/>
      <c r="P185" s="332"/>
      <c r="Q185" s="332"/>
      <c r="R185" s="333"/>
      <c r="S185" s="338"/>
      <c r="T185" s="339"/>
      <c r="U185" s="338"/>
      <c r="V185" s="339"/>
      <c r="W185" s="339"/>
      <c r="X185" s="1"/>
      <c r="Y185" s="1"/>
      <c r="Z185" s="1"/>
      <c r="AA185" s="1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53"/>
      <c r="AO185" s="54"/>
      <c r="AP185" s="54"/>
      <c r="AQ185" s="54"/>
    </row>
    <row r="186" spans="6:49" s="39" customFormat="1" x14ac:dyDescent="0.25">
      <c r="F186" s="103"/>
      <c r="G186" s="103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3"/>
      <c r="AO186" s="54"/>
      <c r="AP186" s="54"/>
      <c r="AQ186" s="54"/>
    </row>
    <row r="187" spans="6:49" s="39" customFormat="1" x14ac:dyDescent="0.25">
      <c r="F187" s="208">
        <v>1017235942</v>
      </c>
      <c r="G187" s="85" t="s">
        <v>93</v>
      </c>
      <c r="H187" s="15">
        <v>2026</v>
      </c>
      <c r="I187" s="15" t="s">
        <v>163</v>
      </c>
      <c r="J187" s="187" t="s">
        <v>28</v>
      </c>
      <c r="K187" s="187" t="s">
        <v>28</v>
      </c>
      <c r="L187" s="187" t="s">
        <v>28</v>
      </c>
      <c r="M187" s="187" t="s">
        <v>28</v>
      </c>
      <c r="N187" s="187" t="s">
        <v>28</v>
      </c>
      <c r="O187" s="167" t="s">
        <v>29</v>
      </c>
      <c r="P187" s="167" t="s">
        <v>29</v>
      </c>
      <c r="Q187" s="167" t="s">
        <v>29</v>
      </c>
      <c r="R187" s="167" t="s">
        <v>29</v>
      </c>
      <c r="S187" s="167" t="s">
        <v>29</v>
      </c>
      <c r="T187" s="167" t="s">
        <v>29</v>
      </c>
      <c r="U187" s="164"/>
      <c r="V187" s="164"/>
      <c r="W187" s="165"/>
      <c r="X187" s="187" t="s">
        <v>28</v>
      </c>
      <c r="Y187" s="187" t="s">
        <v>28</v>
      </c>
      <c r="Z187" s="187" t="s">
        <v>28</v>
      </c>
      <c r="AA187" s="187" t="s">
        <v>28</v>
      </c>
      <c r="AB187" s="187" t="s">
        <v>28</v>
      </c>
      <c r="AC187" s="187" t="s">
        <v>28</v>
      </c>
      <c r="AD187" s="167" t="s">
        <v>29</v>
      </c>
      <c r="AE187" s="167" t="s">
        <v>29</v>
      </c>
      <c r="AF187" s="167" t="s">
        <v>29</v>
      </c>
      <c r="AG187" s="167" t="s">
        <v>29</v>
      </c>
      <c r="AH187" s="167" t="s">
        <v>29</v>
      </c>
      <c r="AI187" s="167" t="s">
        <v>29</v>
      </c>
      <c r="AJ187" s="164"/>
      <c r="AK187" s="164"/>
      <c r="AL187" s="165"/>
      <c r="AM187" s="187" t="s">
        <v>28</v>
      </c>
      <c r="AN187" s="187"/>
      <c r="AO187" s="54"/>
      <c r="AP187" s="54"/>
      <c r="AQ187" s="54"/>
    </row>
    <row r="188" spans="6:49" s="39" customFormat="1" x14ac:dyDescent="0.25">
      <c r="F188" s="207">
        <v>21532552</v>
      </c>
      <c r="G188" s="207" t="s">
        <v>92</v>
      </c>
      <c r="H188" s="15">
        <v>2026</v>
      </c>
      <c r="I188" s="15" t="s">
        <v>163</v>
      </c>
      <c r="J188" s="167" t="s">
        <v>29</v>
      </c>
      <c r="K188" s="167" t="s">
        <v>29</v>
      </c>
      <c r="L188" s="167" t="s">
        <v>29</v>
      </c>
      <c r="M188" s="167" t="s">
        <v>29</v>
      </c>
      <c r="N188" s="167" t="s">
        <v>29</v>
      </c>
      <c r="O188" s="190"/>
      <c r="P188" s="190"/>
      <c r="Q188" s="191"/>
      <c r="R188" s="187" t="s">
        <v>28</v>
      </c>
      <c r="S188" s="187" t="s">
        <v>28</v>
      </c>
      <c r="T188" s="187" t="s">
        <v>28</v>
      </c>
      <c r="U188" s="187" t="s">
        <v>28</v>
      </c>
      <c r="V188" s="187" t="s">
        <v>28</v>
      </c>
      <c r="W188" s="188" t="s">
        <v>28</v>
      </c>
      <c r="X188" s="167" t="s">
        <v>29</v>
      </c>
      <c r="Y188" s="167" t="s">
        <v>29</v>
      </c>
      <c r="Z188" s="167" t="s">
        <v>29</v>
      </c>
      <c r="AA188" s="167" t="s">
        <v>29</v>
      </c>
      <c r="AB188" s="167" t="s">
        <v>29</v>
      </c>
      <c r="AC188" s="167" t="s">
        <v>29</v>
      </c>
      <c r="AD188" s="164"/>
      <c r="AE188" s="164"/>
      <c r="AF188" s="165"/>
      <c r="AG188" s="187" t="s">
        <v>28</v>
      </c>
      <c r="AH188" s="187" t="s">
        <v>28</v>
      </c>
      <c r="AI188" s="187" t="s">
        <v>28</v>
      </c>
      <c r="AJ188" s="187" t="s">
        <v>28</v>
      </c>
      <c r="AK188" s="187" t="s">
        <v>28</v>
      </c>
      <c r="AL188" s="188" t="s">
        <v>28</v>
      </c>
      <c r="AM188" s="167" t="s">
        <v>29</v>
      </c>
      <c r="AN188" s="167"/>
      <c r="AO188" s="54"/>
      <c r="AP188" s="54"/>
      <c r="AQ188" s="54"/>
    </row>
    <row r="189" spans="6:49" s="39" customFormat="1" x14ac:dyDescent="0.25">
      <c r="F189" s="103"/>
      <c r="G189" s="103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3"/>
      <c r="AO189" s="54"/>
      <c r="AP189" s="54"/>
      <c r="AQ189" s="54"/>
    </row>
    <row r="190" spans="6:49" s="39" customFormat="1" x14ac:dyDescent="0.25">
      <c r="F190" s="103"/>
      <c r="G190" s="103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3"/>
      <c r="AO190" s="54"/>
      <c r="AP190" s="54"/>
      <c r="AQ190" s="54"/>
    </row>
    <row r="191" spans="6:49" x14ac:dyDescent="0.25">
      <c r="F191" s="349" t="s">
        <v>96</v>
      </c>
      <c r="G191" s="349"/>
      <c r="H191" s="309" t="s">
        <v>1</v>
      </c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  <c r="AH191" s="311"/>
      <c r="AI191" s="358" t="s">
        <v>2</v>
      </c>
      <c r="AJ191" s="359"/>
      <c r="AK191" s="359"/>
      <c r="AL191" s="359"/>
      <c r="AM191" s="359"/>
      <c r="AN191" s="360"/>
      <c r="AO191" s="3"/>
      <c r="AP191" s="3"/>
      <c r="AQ191" s="3"/>
      <c r="AR191" s="4"/>
      <c r="AS191" s="4"/>
      <c r="AT191" s="4"/>
      <c r="AU191" s="4"/>
      <c r="AV191" s="4"/>
      <c r="AW191" s="4"/>
    </row>
    <row r="192" spans="6:49" x14ac:dyDescent="0.25">
      <c r="F192" s="349"/>
      <c r="G192" s="349"/>
      <c r="H192" s="312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  <c r="AA192" s="313"/>
      <c r="AB192" s="313"/>
      <c r="AC192" s="313"/>
      <c r="AD192" s="313"/>
      <c r="AE192" s="313"/>
      <c r="AF192" s="313"/>
      <c r="AG192" s="313"/>
      <c r="AH192" s="314"/>
      <c r="AI192" s="361"/>
      <c r="AJ192" s="362"/>
      <c r="AK192" s="362"/>
      <c r="AL192" s="362"/>
      <c r="AM192" s="362"/>
      <c r="AN192" s="363"/>
      <c r="AO192" s="3"/>
      <c r="AP192" s="3"/>
      <c r="AQ192" s="3"/>
      <c r="AR192" s="4"/>
      <c r="AS192" s="4"/>
      <c r="AT192" s="4"/>
      <c r="AU192" s="4"/>
      <c r="AV192" s="4"/>
      <c r="AW192" s="4"/>
    </row>
    <row r="193" spans="1:49" x14ac:dyDescent="0.25">
      <c r="F193" s="349"/>
      <c r="G193" s="349"/>
      <c r="H193" s="307" t="s">
        <v>3</v>
      </c>
      <c r="I193" s="290"/>
      <c r="J193" s="290"/>
      <c r="K193" s="291" t="s">
        <v>4</v>
      </c>
      <c r="L193" s="291"/>
      <c r="M193" s="291"/>
      <c r="N193" s="291"/>
      <c r="O193" s="291"/>
      <c r="P193" s="291"/>
      <c r="Q193" s="291"/>
      <c r="R193" s="291"/>
      <c r="S193" s="291"/>
      <c r="T193" s="291"/>
      <c r="U193" s="291"/>
      <c r="V193" s="291"/>
      <c r="W193" s="291"/>
      <c r="X193" s="291"/>
      <c r="Y193" s="291"/>
      <c r="Z193" s="291"/>
      <c r="AA193" s="291"/>
      <c r="AB193" s="291"/>
      <c r="AC193" s="291"/>
      <c r="AD193" s="291"/>
      <c r="AE193" s="291"/>
      <c r="AF193" s="291"/>
      <c r="AG193" s="291"/>
      <c r="AH193" s="292"/>
      <c r="AI193" s="315" t="s">
        <v>5</v>
      </c>
      <c r="AJ193" s="316"/>
      <c r="AK193" s="316"/>
      <c r="AL193" s="316"/>
      <c r="AM193" s="316"/>
      <c r="AN193" s="317"/>
      <c r="AO193" s="3"/>
      <c r="AP193" s="3"/>
      <c r="AQ193" s="3"/>
      <c r="AR193" s="4"/>
      <c r="AS193" s="4"/>
      <c r="AT193" s="4"/>
      <c r="AU193" s="4"/>
      <c r="AV193" s="4"/>
      <c r="AW193" s="4"/>
    </row>
    <row r="194" spans="1:49" x14ac:dyDescent="0.25">
      <c r="F194" s="349" t="s">
        <v>97</v>
      </c>
      <c r="G194" s="349"/>
      <c r="H194" s="5" t="s">
        <v>6</v>
      </c>
      <c r="I194" s="6"/>
      <c r="J194" s="6"/>
      <c r="K194" s="291" t="s">
        <v>7</v>
      </c>
      <c r="L194" s="291"/>
      <c r="M194" s="291"/>
      <c r="N194" s="291"/>
      <c r="O194" s="291"/>
      <c r="P194" s="291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  <c r="AA194" s="291"/>
      <c r="AB194" s="291"/>
      <c r="AC194" s="291"/>
      <c r="AD194" s="291"/>
      <c r="AE194" s="291"/>
      <c r="AF194" s="291"/>
      <c r="AG194" s="291"/>
      <c r="AH194" s="292"/>
      <c r="AI194" s="318"/>
      <c r="AJ194" s="319"/>
      <c r="AK194" s="319"/>
      <c r="AL194" s="319"/>
      <c r="AM194" s="319"/>
      <c r="AN194" s="320"/>
      <c r="AO194" s="3"/>
      <c r="AP194" s="3"/>
      <c r="AQ194" s="3"/>
      <c r="AR194" s="4"/>
      <c r="AS194" s="4"/>
      <c r="AT194" s="4"/>
      <c r="AU194" s="4"/>
      <c r="AV194" s="4"/>
      <c r="AW194" s="4"/>
    </row>
    <row r="195" spans="1:49" x14ac:dyDescent="0.25">
      <c r="F195" s="349"/>
      <c r="G195" s="349"/>
      <c r="H195" s="307" t="s">
        <v>8</v>
      </c>
      <c r="I195" s="290"/>
      <c r="J195" s="290"/>
      <c r="K195" s="291" t="s">
        <v>9</v>
      </c>
      <c r="L195" s="291"/>
      <c r="M195" s="291"/>
      <c r="N195" s="291"/>
      <c r="O195" s="291"/>
      <c r="P195" s="291"/>
      <c r="Q195" s="291"/>
      <c r="R195" s="291"/>
      <c r="S195" s="291"/>
      <c r="T195" s="291"/>
      <c r="U195" s="291"/>
      <c r="V195" s="291"/>
      <c r="W195" s="291"/>
      <c r="X195" s="291"/>
      <c r="Y195" s="291"/>
      <c r="Z195" s="291"/>
      <c r="AA195" s="291"/>
      <c r="AB195" s="291"/>
      <c r="AC195" s="291"/>
      <c r="AD195" s="291"/>
      <c r="AE195" s="291"/>
      <c r="AF195" s="291"/>
      <c r="AG195" s="291"/>
      <c r="AH195" s="292"/>
      <c r="AI195" s="315" t="s">
        <v>10</v>
      </c>
      <c r="AJ195" s="316"/>
      <c r="AK195" s="316"/>
      <c r="AL195" s="316"/>
      <c r="AM195" s="316"/>
      <c r="AN195" s="317"/>
      <c r="AO195" s="3"/>
      <c r="AP195" s="3"/>
      <c r="AQ195" s="3"/>
      <c r="AR195" s="4"/>
      <c r="AS195" s="4"/>
      <c r="AT195" s="4"/>
      <c r="AU195" s="4"/>
      <c r="AV195" s="4"/>
      <c r="AW195" s="4"/>
    </row>
    <row r="196" spans="1:49" x14ac:dyDescent="0.25">
      <c r="F196" s="349"/>
      <c r="G196" s="349"/>
      <c r="H196" s="308" t="s">
        <v>11</v>
      </c>
      <c r="I196" s="293"/>
      <c r="J196" s="293"/>
      <c r="K196" s="294" t="s">
        <v>12</v>
      </c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  <c r="AD196" s="294"/>
      <c r="AE196" s="294"/>
      <c r="AF196" s="294"/>
      <c r="AG196" s="294"/>
      <c r="AH196" s="295"/>
      <c r="AI196" s="318"/>
      <c r="AJ196" s="319"/>
      <c r="AK196" s="319"/>
      <c r="AL196" s="319"/>
      <c r="AM196" s="319"/>
      <c r="AN196" s="320"/>
      <c r="AO196" s="2"/>
      <c r="AP196" s="2"/>
      <c r="AQ196" s="2"/>
      <c r="AR196" s="364" t="s">
        <v>13</v>
      </c>
      <c r="AS196" s="365"/>
      <c r="AT196" s="364" t="s">
        <v>14</v>
      </c>
      <c r="AU196" s="366"/>
      <c r="AV196" s="365"/>
      <c r="AW196" s="4"/>
    </row>
    <row r="197" spans="1:49" ht="18.75" x14ac:dyDescent="0.25">
      <c r="A197" s="7" t="s">
        <v>15</v>
      </c>
      <c r="B197" s="8" t="s">
        <v>16</v>
      </c>
      <c r="C197" s="9" t="s">
        <v>17</v>
      </c>
      <c r="D197" s="9" t="s">
        <v>18</v>
      </c>
      <c r="E197" s="9" t="s">
        <v>19</v>
      </c>
      <c r="F197" s="10" t="s">
        <v>20</v>
      </c>
      <c r="G197" s="7" t="s">
        <v>21</v>
      </c>
      <c r="H197" s="7" t="s">
        <v>22</v>
      </c>
      <c r="I197" s="7" t="s">
        <v>23</v>
      </c>
      <c r="J197" s="247" t="s">
        <v>132</v>
      </c>
      <c r="K197" s="247" t="s">
        <v>133</v>
      </c>
      <c r="L197" s="247" t="s">
        <v>134</v>
      </c>
      <c r="M197" s="247" t="s">
        <v>135</v>
      </c>
      <c r="N197" s="247" t="s">
        <v>136</v>
      </c>
      <c r="O197" s="247" t="s">
        <v>137</v>
      </c>
      <c r="P197" s="155" t="s">
        <v>138</v>
      </c>
      <c r="Q197" s="155" t="s">
        <v>139</v>
      </c>
      <c r="R197" s="247" t="s">
        <v>140</v>
      </c>
      <c r="S197" s="247" t="s">
        <v>141</v>
      </c>
      <c r="T197" s="247" t="s">
        <v>142</v>
      </c>
      <c r="U197" s="247" t="s">
        <v>143</v>
      </c>
      <c r="V197" s="247" t="s">
        <v>144</v>
      </c>
      <c r="W197" s="155" t="s">
        <v>145</v>
      </c>
      <c r="X197" s="155" t="s">
        <v>146</v>
      </c>
      <c r="Y197" s="247" t="s">
        <v>147</v>
      </c>
      <c r="Z197" s="247" t="s">
        <v>148</v>
      </c>
      <c r="AA197" s="247" t="s">
        <v>149</v>
      </c>
      <c r="AB197" s="247" t="s">
        <v>150</v>
      </c>
      <c r="AC197" s="247" t="s">
        <v>151</v>
      </c>
      <c r="AD197" s="155" t="s">
        <v>152</v>
      </c>
      <c r="AE197" s="247" t="s">
        <v>153</v>
      </c>
      <c r="AF197" s="247" t="s">
        <v>154</v>
      </c>
      <c r="AG197" s="247" t="s">
        <v>155</v>
      </c>
      <c r="AH197" s="248" t="s">
        <v>156</v>
      </c>
      <c r="AI197" s="247" t="s">
        <v>157</v>
      </c>
      <c r="AJ197" s="247" t="s">
        <v>158</v>
      </c>
      <c r="AK197" s="155" t="s">
        <v>159</v>
      </c>
      <c r="AL197" s="155" t="s">
        <v>160</v>
      </c>
      <c r="AM197" s="247" t="s">
        <v>161</v>
      </c>
      <c r="AN197" s="249" t="s">
        <v>162</v>
      </c>
      <c r="AO197" s="11" t="s">
        <v>24</v>
      </c>
      <c r="AP197" s="11" t="s">
        <v>25</v>
      </c>
      <c r="AQ197" s="11" t="s">
        <v>26</v>
      </c>
      <c r="AR197" s="340">
        <v>0.75</v>
      </c>
      <c r="AS197" s="341"/>
      <c r="AT197" s="340">
        <v>0.25</v>
      </c>
      <c r="AU197" s="342"/>
      <c r="AV197" s="341"/>
      <c r="AW197" s="9"/>
    </row>
    <row r="198" spans="1:49" x14ac:dyDescent="0.25">
      <c r="F198" s="159">
        <v>1125473475</v>
      </c>
      <c r="G198" s="31" t="s">
        <v>122</v>
      </c>
      <c r="H198" s="15">
        <v>2026</v>
      </c>
      <c r="I198" s="15" t="s">
        <v>163</v>
      </c>
      <c r="J198" s="261" t="s">
        <v>28</v>
      </c>
      <c r="K198" s="261" t="s">
        <v>28</v>
      </c>
      <c r="L198" s="261" t="s">
        <v>29</v>
      </c>
      <c r="M198" s="261" t="s">
        <v>29</v>
      </c>
      <c r="N198" s="261" t="s">
        <v>29</v>
      </c>
      <c r="O198" s="261" t="s">
        <v>29</v>
      </c>
      <c r="P198" s="261" t="s">
        <v>29</v>
      </c>
      <c r="Q198" s="261" t="s">
        <v>29</v>
      </c>
      <c r="R198" s="161"/>
      <c r="S198" s="161"/>
      <c r="T198" s="162"/>
      <c r="U198" s="261" t="s">
        <v>28</v>
      </c>
      <c r="V198" s="261" t="s">
        <v>28</v>
      </c>
      <c r="W198" s="261" t="s">
        <v>28</v>
      </c>
      <c r="X198" s="261" t="s">
        <v>28</v>
      </c>
      <c r="Y198" s="261" t="s">
        <v>28</v>
      </c>
      <c r="Z198" s="261" t="s">
        <v>28</v>
      </c>
      <c r="AA198" s="261" t="s">
        <v>29</v>
      </c>
      <c r="AB198" s="261" t="s">
        <v>29</v>
      </c>
      <c r="AC198" s="260" t="s">
        <v>29</v>
      </c>
      <c r="AD198" s="260" t="s">
        <v>29</v>
      </c>
      <c r="AE198" s="260" t="s">
        <v>29</v>
      </c>
      <c r="AF198" s="260" t="s">
        <v>29</v>
      </c>
      <c r="AG198" s="164"/>
      <c r="AH198" s="164"/>
      <c r="AI198" s="165"/>
      <c r="AJ198" s="260" t="s">
        <v>28</v>
      </c>
      <c r="AK198" s="260" t="s">
        <v>28</v>
      </c>
      <c r="AL198" s="261" t="s">
        <v>28</v>
      </c>
      <c r="AM198" s="261" t="s">
        <v>28</v>
      </c>
      <c r="AN198" s="160"/>
      <c r="AO198" s="16">
        <f>COUNTIF(Tabla128[[#This Row],[1L]:[Columna1]],"D12")</f>
        <v>12</v>
      </c>
      <c r="AP198" s="17">
        <f>COUNTIF(Tabla128[[#This Row],[1L]:[Columna1]],"N12")</f>
        <v>12</v>
      </c>
      <c r="AQ198" s="18">
        <f>COUNTBLANK(Tabla128[[#This Row],[1L]:[Columna1]])</f>
        <v>7</v>
      </c>
      <c r="AR198" s="276">
        <v>0.25</v>
      </c>
      <c r="AS198" s="278"/>
      <c r="AT198" s="276">
        <v>0.75</v>
      </c>
      <c r="AU198" s="277"/>
      <c r="AV198" s="278"/>
      <c r="AW198" s="4"/>
    </row>
    <row r="199" spans="1:49" x14ac:dyDescent="0.25">
      <c r="F199" s="259"/>
      <c r="G199" s="31"/>
      <c r="H199" s="15"/>
      <c r="I199" s="15"/>
      <c r="J199" s="163" t="s">
        <v>28</v>
      </c>
      <c r="K199" s="163" t="s">
        <v>28</v>
      </c>
      <c r="L199" s="163" t="s">
        <v>28</v>
      </c>
      <c r="M199" s="163" t="s">
        <v>28</v>
      </c>
      <c r="N199" s="163" t="s">
        <v>28</v>
      </c>
      <c r="O199" s="163" t="s">
        <v>29</v>
      </c>
      <c r="P199" s="163" t="s">
        <v>29</v>
      </c>
      <c r="Q199" s="163" t="s">
        <v>29</v>
      </c>
      <c r="R199" s="161"/>
      <c r="S199" s="161"/>
      <c r="T199" s="162"/>
      <c r="U199" s="160" t="s">
        <v>28</v>
      </c>
      <c r="V199" s="160" t="s">
        <v>28</v>
      </c>
      <c r="W199" s="160" t="s">
        <v>28</v>
      </c>
      <c r="X199" s="160" t="s">
        <v>28</v>
      </c>
      <c r="Y199" s="163" t="s">
        <v>28</v>
      </c>
      <c r="Z199" s="163" t="s">
        <v>28</v>
      </c>
      <c r="AA199" s="163" t="s">
        <v>29</v>
      </c>
      <c r="AB199" s="163" t="s">
        <v>29</v>
      </c>
      <c r="AC199" s="166" t="s">
        <v>29</v>
      </c>
      <c r="AD199" s="166" t="s">
        <v>29</v>
      </c>
      <c r="AE199" s="166" t="s">
        <v>29</v>
      </c>
      <c r="AF199" s="166" t="s">
        <v>29</v>
      </c>
      <c r="AG199" s="164"/>
      <c r="AH199" s="164"/>
      <c r="AI199" s="165"/>
      <c r="AJ199" s="167" t="s">
        <v>28</v>
      </c>
      <c r="AK199" s="167" t="s">
        <v>28</v>
      </c>
      <c r="AL199" s="160" t="s">
        <v>28</v>
      </c>
      <c r="AM199" s="160" t="s">
        <v>28</v>
      </c>
      <c r="AN199" s="160"/>
      <c r="AO199" s="17">
        <f>COUNTIF(Tabla128[[#This Row],[1L]:[Columna1]],"D12")</f>
        <v>15</v>
      </c>
      <c r="AP199" s="17">
        <f>COUNTIF(Tabla128[[#This Row],[1L]:[Columna1]],"N12")</f>
        <v>9</v>
      </c>
      <c r="AQ199" s="18">
        <f>COUNTBLANK(Tabla128[[#This Row],[1L]:[Columna1]])</f>
        <v>7</v>
      </c>
      <c r="AR199" s="19"/>
      <c r="AS199" s="22"/>
      <c r="AT199" s="19"/>
      <c r="AU199" s="23"/>
      <c r="AV199" s="22"/>
      <c r="AW199" s="4"/>
    </row>
    <row r="200" spans="1:49" x14ac:dyDescent="0.25">
      <c r="F200" s="132">
        <v>32184373</v>
      </c>
      <c r="G200" s="157" t="s">
        <v>98</v>
      </c>
      <c r="H200" s="15">
        <v>2026</v>
      </c>
      <c r="I200" s="15" t="s">
        <v>163</v>
      </c>
      <c r="J200" s="260" t="s">
        <v>29</v>
      </c>
      <c r="K200" s="260" t="s">
        <v>29</v>
      </c>
      <c r="L200" s="164"/>
      <c r="M200" s="164"/>
      <c r="N200" s="165"/>
      <c r="O200" s="260" t="s">
        <v>28</v>
      </c>
      <c r="P200" s="260" t="s">
        <v>28</v>
      </c>
      <c r="Q200" s="260" t="s">
        <v>28</v>
      </c>
      <c r="R200" s="260" t="s">
        <v>28</v>
      </c>
      <c r="S200" s="260" t="s">
        <v>28</v>
      </c>
      <c r="T200" s="260" t="s">
        <v>28</v>
      </c>
      <c r="U200" s="260" t="s">
        <v>29</v>
      </c>
      <c r="V200" s="260" t="s">
        <v>29</v>
      </c>
      <c r="W200" s="260" t="s">
        <v>29</v>
      </c>
      <c r="X200" s="260" t="s">
        <v>29</v>
      </c>
      <c r="Y200" s="260" t="s">
        <v>29</v>
      </c>
      <c r="Z200" s="260" t="s">
        <v>29</v>
      </c>
      <c r="AA200" s="164"/>
      <c r="AB200" s="164"/>
      <c r="AC200" s="165"/>
      <c r="AD200" s="260" t="s">
        <v>28</v>
      </c>
      <c r="AE200" s="260" t="s">
        <v>28</v>
      </c>
      <c r="AF200" s="260" t="s">
        <v>28</v>
      </c>
      <c r="AG200" s="260" t="s">
        <v>28</v>
      </c>
      <c r="AH200" s="260" t="s">
        <v>28</v>
      </c>
      <c r="AI200" s="260" t="s">
        <v>28</v>
      </c>
      <c r="AJ200" s="260" t="s">
        <v>29</v>
      </c>
      <c r="AK200" s="260" t="s">
        <v>29</v>
      </c>
      <c r="AL200" s="260" t="s">
        <v>29</v>
      </c>
      <c r="AM200" s="260" t="s">
        <v>29</v>
      </c>
      <c r="AN200" s="166"/>
      <c r="AO200" s="17">
        <f>COUNTIF(Tabla128[[#This Row],[1L]:[Columna1]],"D12")</f>
        <v>12</v>
      </c>
      <c r="AP200" s="17">
        <f>COUNTIF(Tabla128[[#This Row],[1L]:[Columna1]],"N12")</f>
        <v>12</v>
      </c>
      <c r="AQ200" s="18">
        <f>COUNTBLANK(Tabla128[[#This Row],[1L]:[Columna1]])</f>
        <v>7</v>
      </c>
      <c r="AR200" s="19"/>
      <c r="AS200" s="22"/>
      <c r="AT200" s="19"/>
      <c r="AU200" s="23"/>
      <c r="AV200" s="22"/>
      <c r="AW200" s="4"/>
    </row>
    <row r="201" spans="1:49" x14ac:dyDescent="0.25">
      <c r="F201" s="13"/>
      <c r="G201" s="258"/>
      <c r="H201" s="15"/>
      <c r="I201" s="15"/>
      <c r="J201" s="166" t="s">
        <v>29</v>
      </c>
      <c r="K201" s="166" t="s">
        <v>29</v>
      </c>
      <c r="L201" s="166" t="s">
        <v>29</v>
      </c>
      <c r="M201" s="164"/>
      <c r="N201" s="165"/>
      <c r="O201" s="167" t="s">
        <v>28</v>
      </c>
      <c r="P201" s="167" t="s">
        <v>28</v>
      </c>
      <c r="Q201" s="167" t="s">
        <v>28</v>
      </c>
      <c r="R201" s="167" t="s">
        <v>28</v>
      </c>
      <c r="S201" s="167" t="s">
        <v>28</v>
      </c>
      <c r="T201" s="167" t="s">
        <v>28</v>
      </c>
      <c r="U201" s="167" t="s">
        <v>29</v>
      </c>
      <c r="V201" s="167" t="s">
        <v>29</v>
      </c>
      <c r="W201" s="167" t="s">
        <v>29</v>
      </c>
      <c r="X201" s="166" t="s">
        <v>29</v>
      </c>
      <c r="Y201" s="166" t="s">
        <v>29</v>
      </c>
      <c r="Z201" s="166" t="s">
        <v>29</v>
      </c>
      <c r="AA201" s="164"/>
      <c r="AB201" s="164"/>
      <c r="AC201" s="165"/>
      <c r="AD201" s="167" t="s">
        <v>28</v>
      </c>
      <c r="AE201" s="167" t="s">
        <v>28</v>
      </c>
      <c r="AF201" s="167" t="s">
        <v>28</v>
      </c>
      <c r="AG201" s="167" t="s">
        <v>28</v>
      </c>
      <c r="AH201" s="167" t="s">
        <v>28</v>
      </c>
      <c r="AI201" s="167" t="s">
        <v>28</v>
      </c>
      <c r="AJ201" s="167" t="s">
        <v>29</v>
      </c>
      <c r="AK201" s="167" t="s">
        <v>29</v>
      </c>
      <c r="AL201" s="167" t="s">
        <v>29</v>
      </c>
      <c r="AM201" s="166" t="s">
        <v>29</v>
      </c>
      <c r="AN201" s="166"/>
      <c r="AO201" s="17">
        <f>COUNTIF(Tabla128[[#This Row],[1L]:[Columna1]],"D12")</f>
        <v>12</v>
      </c>
      <c r="AP201" s="17">
        <f>COUNTIF(Tabla128[[#This Row],[1L]:[Columna1]],"N12")</f>
        <v>13</v>
      </c>
      <c r="AQ201" s="18">
        <f>COUNTBLANK(Tabla128[[#This Row],[1L]:[Columna1]])</f>
        <v>6</v>
      </c>
      <c r="AR201" s="19"/>
      <c r="AS201" s="22"/>
      <c r="AT201" s="19"/>
      <c r="AU201" s="23"/>
      <c r="AV201" s="22"/>
      <c r="AW201" s="4"/>
    </row>
    <row r="202" spans="1:49" x14ac:dyDescent="0.25">
      <c r="F202" s="85">
        <v>1100622217</v>
      </c>
      <c r="G202" s="26" t="s">
        <v>100</v>
      </c>
      <c r="H202" s="15">
        <v>2026</v>
      </c>
      <c r="I202" s="15" t="s">
        <v>163</v>
      </c>
      <c r="J202" s="260" t="s">
        <v>29</v>
      </c>
      <c r="K202" s="260" t="s">
        <v>29</v>
      </c>
      <c r="L202" s="260" t="s">
        <v>29</v>
      </c>
      <c r="M202" s="260" t="s">
        <v>29</v>
      </c>
      <c r="N202" s="260" t="s">
        <v>29</v>
      </c>
      <c r="O202" s="164"/>
      <c r="P202" s="164"/>
      <c r="Q202" s="165"/>
      <c r="R202" s="260" t="s">
        <v>28</v>
      </c>
      <c r="S202" s="260" t="s">
        <v>28</v>
      </c>
      <c r="T202" s="260" t="s">
        <v>28</v>
      </c>
      <c r="U202" s="260" t="s">
        <v>28</v>
      </c>
      <c r="V202" s="260" t="s">
        <v>28</v>
      </c>
      <c r="W202" s="260" t="s">
        <v>28</v>
      </c>
      <c r="X202" s="260" t="s">
        <v>29</v>
      </c>
      <c r="Y202" s="260" t="s">
        <v>29</v>
      </c>
      <c r="Z202" s="260" t="s">
        <v>29</v>
      </c>
      <c r="AA202" s="260" t="s">
        <v>29</v>
      </c>
      <c r="AB202" s="260" t="s">
        <v>29</v>
      </c>
      <c r="AC202" s="260" t="s">
        <v>29</v>
      </c>
      <c r="AD202" s="164"/>
      <c r="AE202" s="164"/>
      <c r="AF202" s="165"/>
      <c r="AG202" s="260" t="s">
        <v>28</v>
      </c>
      <c r="AH202" s="260" t="s">
        <v>28</v>
      </c>
      <c r="AI202" s="260" t="s">
        <v>28</v>
      </c>
      <c r="AJ202" s="260" t="s">
        <v>28</v>
      </c>
      <c r="AK202" s="260" t="s">
        <v>28</v>
      </c>
      <c r="AL202" s="260" t="s">
        <v>28</v>
      </c>
      <c r="AM202" s="260" t="s">
        <v>29</v>
      </c>
      <c r="AN202" s="166"/>
      <c r="AO202" s="17">
        <f>COUNTIF(Tabla128[[#This Row],[1L]:[Columna1]],"D12")</f>
        <v>12</v>
      </c>
      <c r="AP202" s="17">
        <f>COUNTIF(Tabla128[[#This Row],[1L]:[Columna1]],"N12")</f>
        <v>12</v>
      </c>
      <c r="AQ202" s="18">
        <f>COUNTBLANK(Tabla128[[#This Row],[1L]:[Columna1]])</f>
        <v>7</v>
      </c>
      <c r="AR202" s="19"/>
      <c r="AS202" s="22"/>
      <c r="AT202" s="19"/>
      <c r="AU202" s="23"/>
      <c r="AV202" s="22"/>
      <c r="AW202" s="4"/>
    </row>
    <row r="203" spans="1:49" x14ac:dyDescent="0.25">
      <c r="F203" s="13"/>
      <c r="G203" s="26"/>
      <c r="H203" s="15">
        <v>2026</v>
      </c>
      <c r="I203" s="15" t="s">
        <v>163</v>
      </c>
      <c r="J203" s="166" t="s">
        <v>29</v>
      </c>
      <c r="K203" s="166" t="s">
        <v>29</v>
      </c>
      <c r="L203" s="166" t="s">
        <v>29</v>
      </c>
      <c r="M203" s="166" t="s">
        <v>29</v>
      </c>
      <c r="N203" s="166" t="s">
        <v>29</v>
      </c>
      <c r="O203" s="164"/>
      <c r="P203" s="164"/>
      <c r="Q203" s="165"/>
      <c r="R203" s="166" t="s">
        <v>28</v>
      </c>
      <c r="S203" s="166" t="s">
        <v>28</v>
      </c>
      <c r="T203" s="166" t="s">
        <v>28</v>
      </c>
      <c r="U203" s="242" t="s">
        <v>32</v>
      </c>
      <c r="V203" s="242" t="s">
        <v>32</v>
      </c>
      <c r="W203" s="242" t="s">
        <v>32</v>
      </c>
      <c r="X203" s="242" t="s">
        <v>32</v>
      </c>
      <c r="Y203" s="242" t="s">
        <v>32</v>
      </c>
      <c r="Z203" s="242" t="s">
        <v>32</v>
      </c>
      <c r="AA203" s="242" t="s">
        <v>32</v>
      </c>
      <c r="AB203" s="242" t="s">
        <v>32</v>
      </c>
      <c r="AC203" s="242" t="s">
        <v>32</v>
      </c>
      <c r="AD203" s="242" t="s">
        <v>32</v>
      </c>
      <c r="AE203" s="242" t="s">
        <v>32</v>
      </c>
      <c r="AF203" s="242" t="s">
        <v>32</v>
      </c>
      <c r="AG203" s="242" t="s">
        <v>32</v>
      </c>
      <c r="AH203" s="242" t="s">
        <v>32</v>
      </c>
      <c r="AI203" s="242" t="s">
        <v>32</v>
      </c>
      <c r="AJ203" s="242" t="s">
        <v>32</v>
      </c>
      <c r="AK203" s="242" t="s">
        <v>32</v>
      </c>
      <c r="AL203" s="166" t="s">
        <v>28</v>
      </c>
      <c r="AM203" s="166" t="s">
        <v>29</v>
      </c>
      <c r="AN203" s="18"/>
      <c r="AO203" s="17">
        <f>COUNTIF(Tabla128[[#This Row],[1L]:[Columna1]],"D12")</f>
        <v>4</v>
      </c>
      <c r="AP203" s="17">
        <f>COUNTIF(Tabla128[[#This Row],[1L]:[Columna1]],"N12")</f>
        <v>6</v>
      </c>
      <c r="AQ203" s="18">
        <f>COUNTBLANK(Tabla128[[#This Row],[1L]:[Columna1]])</f>
        <v>4</v>
      </c>
      <c r="AR203" s="19"/>
      <c r="AS203" s="22"/>
      <c r="AT203" s="19"/>
      <c r="AU203" s="23"/>
      <c r="AV203" s="22"/>
      <c r="AW203" s="4"/>
    </row>
    <row r="204" spans="1:49" x14ac:dyDescent="0.25">
      <c r="F204" s="236">
        <v>71185910</v>
      </c>
      <c r="G204" s="236" t="s">
        <v>82</v>
      </c>
      <c r="H204" s="15">
        <v>2026</v>
      </c>
      <c r="I204" s="15" t="s">
        <v>163</v>
      </c>
      <c r="J204" s="167" t="s">
        <v>28</v>
      </c>
      <c r="K204" s="167" t="s">
        <v>31</v>
      </c>
      <c r="L204" s="167" t="s">
        <v>31</v>
      </c>
      <c r="M204" s="167" t="s">
        <v>31</v>
      </c>
      <c r="N204" s="167" t="s">
        <v>31</v>
      </c>
      <c r="O204" s="167" t="s">
        <v>31</v>
      </c>
      <c r="P204" s="253"/>
      <c r="Q204" s="253"/>
      <c r="R204" s="166" t="s">
        <v>28</v>
      </c>
      <c r="S204" s="166" t="s">
        <v>28</v>
      </c>
      <c r="T204" s="166" t="s">
        <v>28</v>
      </c>
      <c r="U204" s="166" t="s">
        <v>28</v>
      </c>
      <c r="V204" s="166" t="s">
        <v>28</v>
      </c>
      <c r="W204" s="166" t="s">
        <v>28</v>
      </c>
      <c r="X204" s="166" t="s">
        <v>29</v>
      </c>
      <c r="Y204" s="166" t="s">
        <v>29</v>
      </c>
      <c r="Z204" s="166" t="s">
        <v>29</v>
      </c>
      <c r="AA204" s="166" t="s">
        <v>29</v>
      </c>
      <c r="AB204" s="166" t="s">
        <v>29</v>
      </c>
      <c r="AC204" s="166" t="s">
        <v>29</v>
      </c>
      <c r="AD204" s="164"/>
      <c r="AE204" s="164"/>
      <c r="AF204" s="165"/>
      <c r="AG204" s="166" t="s">
        <v>28</v>
      </c>
      <c r="AH204" s="166" t="s">
        <v>28</v>
      </c>
      <c r="AI204" s="166" t="s">
        <v>28</v>
      </c>
      <c r="AJ204" s="166" t="s">
        <v>28</v>
      </c>
      <c r="AK204" s="166" t="s">
        <v>28</v>
      </c>
      <c r="AL204" s="167" t="s">
        <v>31</v>
      </c>
      <c r="AM204" s="167" t="s">
        <v>31</v>
      </c>
      <c r="AN204" s="18"/>
      <c r="AO204" s="17">
        <f>COUNTIF(Tabla128[[#This Row],[1L]:[Columna1]],"D12")</f>
        <v>12</v>
      </c>
      <c r="AP204" s="17">
        <f>COUNTIF(Tabla128[[#This Row],[1L]:[Columna1]],"N12")</f>
        <v>6</v>
      </c>
      <c r="AQ204" s="18">
        <f>COUNTBLANK(Tabla128[[#This Row],[1L]:[Columna1]])</f>
        <v>6</v>
      </c>
      <c r="AR204" s="19"/>
      <c r="AS204" s="22"/>
      <c r="AT204" s="19"/>
      <c r="AU204" s="23"/>
      <c r="AV204" s="22"/>
      <c r="AW204" s="4"/>
    </row>
    <row r="205" spans="1:49" x14ac:dyDescent="0.25">
      <c r="F205" s="159">
        <v>8416167</v>
      </c>
      <c r="G205" s="107" t="s">
        <v>120</v>
      </c>
      <c r="H205" s="15">
        <v>2026</v>
      </c>
      <c r="I205" s="15" t="s">
        <v>163</v>
      </c>
      <c r="J205" s="164"/>
      <c r="K205" s="165"/>
      <c r="L205" s="95" t="s">
        <v>28</v>
      </c>
      <c r="M205" s="95" t="s">
        <v>28</v>
      </c>
      <c r="N205" s="95" t="s">
        <v>28</v>
      </c>
      <c r="O205" s="95" t="s">
        <v>28</v>
      </c>
      <c r="P205" s="95" t="s">
        <v>28</v>
      </c>
      <c r="Q205" s="167" t="s">
        <v>28</v>
      </c>
      <c r="R205" s="95" t="s">
        <v>29</v>
      </c>
      <c r="S205" s="95" t="s">
        <v>29</v>
      </c>
      <c r="T205" s="95" t="s">
        <v>29</v>
      </c>
      <c r="U205" s="95" t="s">
        <v>29</v>
      </c>
      <c r="V205" s="95" t="s">
        <v>29</v>
      </c>
      <c r="W205" s="95" t="s">
        <v>29</v>
      </c>
      <c r="X205" s="164"/>
      <c r="Y205" s="164"/>
      <c r="Z205" s="165"/>
      <c r="AA205" s="95" t="s">
        <v>28</v>
      </c>
      <c r="AB205" s="95" t="s">
        <v>28</v>
      </c>
      <c r="AC205" s="95" t="s">
        <v>28</v>
      </c>
      <c r="AD205" s="95" t="s">
        <v>28</v>
      </c>
      <c r="AE205" s="95" t="s">
        <v>28</v>
      </c>
      <c r="AF205" s="167" t="s">
        <v>28</v>
      </c>
      <c r="AG205" s="95" t="s">
        <v>29</v>
      </c>
      <c r="AH205" s="95" t="s">
        <v>29</v>
      </c>
      <c r="AI205" s="95" t="s">
        <v>29</v>
      </c>
      <c r="AJ205" s="95" t="s">
        <v>29</v>
      </c>
      <c r="AK205" s="95" t="s">
        <v>29</v>
      </c>
      <c r="AL205" s="95" t="s">
        <v>29</v>
      </c>
      <c r="AM205" s="164"/>
      <c r="AN205" s="166"/>
      <c r="AO205" s="17">
        <f>COUNTIF(Tabla128[[#This Row],[1L]:[Columna1]],"D12")</f>
        <v>12</v>
      </c>
      <c r="AP205" s="17">
        <f>COUNTIF(Tabla128[[#This Row],[1L]:[Columna1]],"N12")</f>
        <v>12</v>
      </c>
      <c r="AQ205" s="18">
        <f>COUNTBLANK(Tabla128[[#This Row],[1L]:[Columna1]])</f>
        <v>7</v>
      </c>
      <c r="AR205" s="19"/>
      <c r="AS205" s="22"/>
      <c r="AT205" s="19"/>
      <c r="AU205" s="23"/>
      <c r="AV205" s="22"/>
      <c r="AW205" s="4"/>
    </row>
    <row r="206" spans="1:49" x14ac:dyDescent="0.25">
      <c r="F206" s="126">
        <v>1033374378</v>
      </c>
      <c r="G206" s="212" t="s">
        <v>89</v>
      </c>
      <c r="H206" s="15">
        <v>2026</v>
      </c>
      <c r="I206" s="15" t="s">
        <v>163</v>
      </c>
      <c r="J206" s="166" t="s">
        <v>29</v>
      </c>
      <c r="K206" s="166" t="s">
        <v>29</v>
      </c>
      <c r="L206" s="166" t="s">
        <v>29</v>
      </c>
      <c r="M206" s="166" t="s">
        <v>29</v>
      </c>
      <c r="N206" s="166" t="s">
        <v>29</v>
      </c>
      <c r="O206" s="166" t="s">
        <v>29</v>
      </c>
      <c r="P206" s="166" t="s">
        <v>29</v>
      </c>
      <c r="Q206" s="166" t="s">
        <v>29</v>
      </c>
      <c r="R206" s="166" t="s">
        <v>29</v>
      </c>
      <c r="S206" s="166" t="s">
        <v>29</v>
      </c>
      <c r="T206" s="166" t="s">
        <v>29</v>
      </c>
      <c r="U206" s="164"/>
      <c r="V206" s="164"/>
      <c r="W206" s="165"/>
      <c r="X206" s="166" t="s">
        <v>28</v>
      </c>
      <c r="Y206" s="166" t="s">
        <v>28</v>
      </c>
      <c r="Z206" s="166" t="s">
        <v>28</v>
      </c>
      <c r="AA206" s="166" t="s">
        <v>28</v>
      </c>
      <c r="AB206" s="166" t="s">
        <v>28</v>
      </c>
      <c r="AC206" s="166" t="s">
        <v>28</v>
      </c>
      <c r="AD206" s="166" t="s">
        <v>29</v>
      </c>
      <c r="AE206" s="166" t="s">
        <v>29</v>
      </c>
      <c r="AF206" s="166" t="s">
        <v>29</v>
      </c>
      <c r="AG206" s="166" t="s">
        <v>29</v>
      </c>
      <c r="AH206" s="166" t="s">
        <v>29</v>
      </c>
      <c r="AI206" s="166" t="s">
        <v>29</v>
      </c>
      <c r="AJ206" s="164"/>
      <c r="AK206" s="164"/>
      <c r="AL206" s="165"/>
      <c r="AM206" s="166" t="s">
        <v>28</v>
      </c>
      <c r="AN206" s="166"/>
      <c r="AO206" s="17">
        <f>COUNTIF(Tabla128[[#This Row],[1L]:[Columna1]],"D12")</f>
        <v>7</v>
      </c>
      <c r="AP206" s="17">
        <f>COUNTIF(Tabla128[[#This Row],[1L]:[Columna1]],"N12")</f>
        <v>17</v>
      </c>
      <c r="AQ206" s="18">
        <f>COUNTBLANK(Tabla128[[#This Row],[1L]:[Columna1]])</f>
        <v>7</v>
      </c>
      <c r="AR206" s="19"/>
      <c r="AS206" s="22"/>
      <c r="AT206" s="19"/>
      <c r="AU206" s="23"/>
      <c r="AV206" s="22"/>
      <c r="AW206" s="4"/>
    </row>
    <row r="207" spans="1:49" x14ac:dyDescent="0.25">
      <c r="F207" s="13"/>
      <c r="G207" s="26"/>
      <c r="H207" s="15">
        <v>2026</v>
      </c>
      <c r="I207" s="15" t="s">
        <v>163</v>
      </c>
      <c r="J207" s="166"/>
      <c r="K207" s="166"/>
      <c r="L207" s="166"/>
      <c r="M207" s="166"/>
      <c r="N207" s="166"/>
      <c r="O207" s="166"/>
      <c r="P207" s="166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54"/>
      <c r="AJ207" s="166"/>
      <c r="AK207" s="166"/>
      <c r="AL207" s="166"/>
      <c r="AM207" s="166"/>
      <c r="AN207" s="196"/>
      <c r="AO207" s="17">
        <f>COUNTIF(Tabla128[[#This Row],[1L]:[Columna1]],"D12")</f>
        <v>0</v>
      </c>
      <c r="AP207" s="17">
        <f>COUNTIF(Tabla128[[#This Row],[1L]:[Columna1]],"N12")</f>
        <v>0</v>
      </c>
      <c r="AQ207" s="18">
        <f>COUNTBLANK(Tabla128[[#This Row],[1L]:[Columna1]])</f>
        <v>31</v>
      </c>
      <c r="AR207" s="19"/>
      <c r="AS207" s="22"/>
      <c r="AT207" s="19"/>
      <c r="AU207" s="23"/>
      <c r="AV207" s="22"/>
      <c r="AW207" s="4"/>
    </row>
    <row r="208" spans="1:49" ht="18.75" x14ac:dyDescent="0.25">
      <c r="F208" s="35"/>
      <c r="G208" s="156"/>
      <c r="H208" s="15">
        <v>2026</v>
      </c>
      <c r="I208" s="15" t="s">
        <v>163</v>
      </c>
      <c r="J208" s="150">
        <f t="shared" ref="J208:AM208" si="12">COUNTIF(J194:J207,"D12")</f>
        <v>3</v>
      </c>
      <c r="K208" s="150">
        <f t="shared" si="12"/>
        <v>2</v>
      </c>
      <c r="L208" s="150">
        <f t="shared" si="12"/>
        <v>2</v>
      </c>
      <c r="M208" s="150">
        <f t="shared" si="12"/>
        <v>2</v>
      </c>
      <c r="N208" s="150">
        <f t="shared" si="12"/>
        <v>2</v>
      </c>
      <c r="O208" s="150">
        <f t="shared" si="12"/>
        <v>3</v>
      </c>
      <c r="P208" s="150">
        <f t="shared" si="12"/>
        <v>3</v>
      </c>
      <c r="Q208" s="150">
        <f t="shared" si="12"/>
        <v>3</v>
      </c>
      <c r="R208" s="150">
        <f t="shared" si="12"/>
        <v>5</v>
      </c>
      <c r="S208" s="150">
        <f t="shared" si="12"/>
        <v>5</v>
      </c>
      <c r="T208" s="150">
        <f t="shared" si="12"/>
        <v>5</v>
      </c>
      <c r="U208" s="150">
        <f t="shared" si="12"/>
        <v>4</v>
      </c>
      <c r="V208" s="150">
        <f t="shared" si="12"/>
        <v>4</v>
      </c>
      <c r="W208" s="150">
        <f t="shared" si="12"/>
        <v>4</v>
      </c>
      <c r="X208" s="150">
        <f t="shared" si="12"/>
        <v>3</v>
      </c>
      <c r="Y208" s="150">
        <f t="shared" si="12"/>
        <v>3</v>
      </c>
      <c r="Z208" s="150">
        <f t="shared" si="12"/>
        <v>3</v>
      </c>
      <c r="AA208" s="150">
        <f t="shared" si="12"/>
        <v>2</v>
      </c>
      <c r="AB208" s="150">
        <f t="shared" si="12"/>
        <v>2</v>
      </c>
      <c r="AC208" s="150">
        <f t="shared" si="12"/>
        <v>2</v>
      </c>
      <c r="AD208" s="150">
        <f t="shared" si="12"/>
        <v>3</v>
      </c>
      <c r="AE208" s="150">
        <f t="shared" si="12"/>
        <v>3</v>
      </c>
      <c r="AF208" s="150">
        <f t="shared" si="12"/>
        <v>3</v>
      </c>
      <c r="AG208" s="150">
        <f t="shared" si="12"/>
        <v>4</v>
      </c>
      <c r="AH208" s="150">
        <f t="shared" si="12"/>
        <v>4</v>
      </c>
      <c r="AI208" s="150">
        <f t="shared" si="12"/>
        <v>4</v>
      </c>
      <c r="AJ208" s="150">
        <f t="shared" si="12"/>
        <v>4</v>
      </c>
      <c r="AK208" s="150">
        <f t="shared" si="12"/>
        <v>4</v>
      </c>
      <c r="AL208" s="150">
        <f t="shared" si="12"/>
        <v>4</v>
      </c>
      <c r="AM208" s="150">
        <f t="shared" si="12"/>
        <v>3</v>
      </c>
      <c r="AN208" s="150">
        <f>COUNTIF(AN193:AN207,"D12")</f>
        <v>0</v>
      </c>
      <c r="AO208" s="33"/>
      <c r="AP208" s="33"/>
      <c r="AQ208" s="34"/>
      <c r="AR208" s="28"/>
      <c r="AS208" s="29"/>
      <c r="AT208" s="28"/>
      <c r="AU208" s="29"/>
      <c r="AV208" s="29"/>
      <c r="AW208" s="4"/>
    </row>
    <row r="209" spans="1:49" ht="18.75" x14ac:dyDescent="0.25">
      <c r="F209" s="32"/>
      <c r="G209" s="1"/>
      <c r="H209" s="15">
        <v>2026</v>
      </c>
      <c r="I209" s="15" t="s">
        <v>163</v>
      </c>
      <c r="J209" s="150">
        <f t="shared" ref="J209:AM209" si="13">COUNTIF(J194:J207,"N12")</f>
        <v>5</v>
      </c>
      <c r="K209" s="150">
        <f t="shared" si="13"/>
        <v>5</v>
      </c>
      <c r="L209" s="150">
        <f t="shared" si="13"/>
        <v>5</v>
      </c>
      <c r="M209" s="150">
        <f t="shared" si="13"/>
        <v>4</v>
      </c>
      <c r="N209" s="150">
        <f t="shared" si="13"/>
        <v>4</v>
      </c>
      <c r="O209" s="150">
        <f t="shared" si="13"/>
        <v>3</v>
      </c>
      <c r="P209" s="150">
        <f t="shared" si="13"/>
        <v>3</v>
      </c>
      <c r="Q209" s="150">
        <f t="shared" si="13"/>
        <v>3</v>
      </c>
      <c r="R209" s="150">
        <f t="shared" si="13"/>
        <v>2</v>
      </c>
      <c r="S209" s="150">
        <f t="shared" si="13"/>
        <v>2</v>
      </c>
      <c r="T209" s="150">
        <f t="shared" si="13"/>
        <v>2</v>
      </c>
      <c r="U209" s="150">
        <f t="shared" si="13"/>
        <v>3</v>
      </c>
      <c r="V209" s="150">
        <f t="shared" si="13"/>
        <v>3</v>
      </c>
      <c r="W209" s="150">
        <f t="shared" si="13"/>
        <v>3</v>
      </c>
      <c r="X209" s="150">
        <f t="shared" si="13"/>
        <v>4</v>
      </c>
      <c r="Y209" s="150">
        <f t="shared" si="13"/>
        <v>4</v>
      </c>
      <c r="Z209" s="150">
        <f t="shared" si="13"/>
        <v>4</v>
      </c>
      <c r="AA209" s="150">
        <f t="shared" si="13"/>
        <v>4</v>
      </c>
      <c r="AB209" s="150">
        <f t="shared" si="13"/>
        <v>4</v>
      </c>
      <c r="AC209" s="150">
        <f t="shared" si="13"/>
        <v>4</v>
      </c>
      <c r="AD209" s="150">
        <f t="shared" si="13"/>
        <v>3</v>
      </c>
      <c r="AE209" s="150">
        <f t="shared" si="13"/>
        <v>3</v>
      </c>
      <c r="AF209" s="150">
        <f t="shared" si="13"/>
        <v>3</v>
      </c>
      <c r="AG209" s="150">
        <f t="shared" si="13"/>
        <v>2</v>
      </c>
      <c r="AH209" s="150">
        <f t="shared" si="13"/>
        <v>2</v>
      </c>
      <c r="AI209" s="150">
        <f t="shared" si="13"/>
        <v>2</v>
      </c>
      <c r="AJ209" s="150">
        <f t="shared" si="13"/>
        <v>3</v>
      </c>
      <c r="AK209" s="150">
        <f t="shared" si="13"/>
        <v>3</v>
      </c>
      <c r="AL209" s="150">
        <f t="shared" si="13"/>
        <v>3</v>
      </c>
      <c r="AM209" s="150">
        <f t="shared" si="13"/>
        <v>4</v>
      </c>
      <c r="AN209" s="158">
        <f>COUNTIF(AN193:AN207,"N12")</f>
        <v>0</v>
      </c>
      <c r="AO209" s="33"/>
      <c r="AP209" s="33"/>
      <c r="AQ209" s="34"/>
      <c r="AR209" s="28"/>
      <c r="AS209" s="29"/>
      <c r="AT209" s="28"/>
      <c r="AU209" s="29"/>
      <c r="AV209" s="29"/>
      <c r="AW209" s="4"/>
    </row>
    <row r="210" spans="1:49" x14ac:dyDescent="0.25">
      <c r="F210" s="154"/>
      <c r="G210" s="26"/>
      <c r="H210" s="15">
        <v>2026</v>
      </c>
      <c r="I210" s="15" t="s">
        <v>163</v>
      </c>
      <c r="J210" s="33"/>
      <c r="K210" s="33"/>
      <c r="L210" s="33"/>
      <c r="M210" s="33"/>
      <c r="N210" s="33"/>
      <c r="O210" s="33"/>
      <c r="P210" s="33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3"/>
      <c r="AJ210" s="33"/>
      <c r="AK210" s="33"/>
      <c r="AL210" s="33"/>
      <c r="AM210" s="33"/>
      <c r="AN210" s="18"/>
      <c r="AO210" s="17">
        <f>COUNTIF(Tabla128[[#This Row],[1L]:[Columna1]],"D12")</f>
        <v>0</v>
      </c>
      <c r="AP210" s="17">
        <f>COUNTIF(Tabla128[[#This Row],[1L]:[Columna1]],"N12")</f>
        <v>0</v>
      </c>
      <c r="AQ210" s="27">
        <f>COUNTBLANK(Tabla128[[#This Row],[1L]:[Columna1]])</f>
        <v>31</v>
      </c>
      <c r="AR210" s="4"/>
      <c r="AS210" s="4"/>
      <c r="AT210" s="4"/>
      <c r="AU210" s="4"/>
      <c r="AV210" s="4"/>
      <c r="AW210" s="4"/>
    </row>
    <row r="211" spans="1:49" s="39" customFormat="1" x14ac:dyDescent="0.25">
      <c r="A211" s="108"/>
      <c r="B211" s="109"/>
      <c r="C211" s="109"/>
      <c r="D211" s="109"/>
      <c r="E211" s="110"/>
      <c r="F211" s="111"/>
      <c r="G211" s="103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3"/>
      <c r="AJ211" s="53"/>
      <c r="AK211" s="53"/>
      <c r="AL211" s="53"/>
      <c r="AM211" s="53"/>
      <c r="AN211" s="53"/>
      <c r="AO211" s="54"/>
      <c r="AP211" s="54"/>
      <c r="AQ211" s="54"/>
    </row>
    <row r="212" spans="1:49" s="39" customFormat="1" x14ac:dyDescent="0.25">
      <c r="A212" s="112"/>
      <c r="B212" s="4"/>
      <c r="C212" s="4"/>
      <c r="D212" s="4"/>
      <c r="E212" s="113"/>
      <c r="F212" s="111"/>
      <c r="G212" s="103"/>
      <c r="H212" s="301" t="s">
        <v>36</v>
      </c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3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53"/>
      <c r="AO212" s="54"/>
      <c r="AP212" s="54"/>
      <c r="AQ212" s="54"/>
    </row>
    <row r="213" spans="1:49" s="39" customFormat="1" x14ac:dyDescent="0.25">
      <c r="A213" s="112"/>
      <c r="B213" s="4"/>
      <c r="C213" s="4"/>
      <c r="D213" s="4"/>
      <c r="E213" s="113"/>
      <c r="F213" s="111"/>
      <c r="G213" s="103"/>
      <c r="H213" s="304" t="s">
        <v>37</v>
      </c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  <c r="AA213" s="306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53"/>
      <c r="AO213" s="54"/>
      <c r="AP213" s="54"/>
      <c r="AQ213" s="54"/>
    </row>
    <row r="214" spans="1:49" s="39" customFormat="1" x14ac:dyDescent="0.25">
      <c r="A214" s="112"/>
      <c r="B214" s="4"/>
      <c r="C214" s="4"/>
      <c r="D214" s="4"/>
      <c r="E214" s="113"/>
      <c r="F214" s="111"/>
      <c r="G214" s="103"/>
      <c r="H214" s="304" t="s">
        <v>38</v>
      </c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  <c r="AA214" s="306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53"/>
      <c r="AO214" s="54"/>
      <c r="AP214" s="54"/>
      <c r="AQ214" s="54"/>
    </row>
    <row r="215" spans="1:49" s="39" customFormat="1" x14ac:dyDescent="0.25">
      <c r="A215" s="112"/>
      <c r="B215" s="4"/>
      <c r="C215" s="4"/>
      <c r="D215" s="4"/>
      <c r="E215" s="113"/>
      <c r="F215" s="111"/>
      <c r="G215" s="103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53"/>
      <c r="AO215" s="54"/>
      <c r="AP215" s="54"/>
      <c r="AQ215" s="54"/>
    </row>
    <row r="216" spans="1:49" s="39" customFormat="1" x14ac:dyDescent="0.25">
      <c r="A216" s="112"/>
      <c r="B216" s="4"/>
      <c r="C216" s="4"/>
      <c r="D216" s="4"/>
      <c r="E216" s="113"/>
      <c r="F216" s="111"/>
      <c r="G216" s="103"/>
      <c r="H216" s="55"/>
      <c r="I216" s="279" t="s">
        <v>39</v>
      </c>
      <c r="J216" s="280"/>
      <c r="K216" s="280"/>
      <c r="L216" s="281"/>
      <c r="M216" s="56"/>
      <c r="N216" s="279" t="s">
        <v>40</v>
      </c>
      <c r="O216" s="280"/>
      <c r="P216" s="280"/>
      <c r="Q216" s="280"/>
      <c r="R216" s="281"/>
      <c r="S216" s="364" t="s">
        <v>13</v>
      </c>
      <c r="T216" s="365"/>
      <c r="U216" s="364" t="s">
        <v>14</v>
      </c>
      <c r="V216" s="366"/>
      <c r="W216" s="365"/>
      <c r="X216"/>
      <c r="Y216"/>
      <c r="Z216"/>
      <c r="AA216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53"/>
      <c r="AO216" s="54"/>
      <c r="AP216" s="54"/>
      <c r="AQ216" s="54"/>
    </row>
    <row r="217" spans="1:49" s="39" customFormat="1" x14ac:dyDescent="0.25">
      <c r="A217" s="112"/>
      <c r="B217" s="4"/>
      <c r="C217" s="4"/>
      <c r="D217" s="4"/>
      <c r="E217" s="113"/>
      <c r="F217" s="111"/>
      <c r="G217" s="103"/>
      <c r="H217" s="46" t="s">
        <v>32</v>
      </c>
      <c r="I217" s="279" t="s">
        <v>41</v>
      </c>
      <c r="J217" s="280"/>
      <c r="K217" s="280"/>
      <c r="L217" s="281"/>
      <c r="M217" s="47" t="s">
        <v>42</v>
      </c>
      <c r="N217" s="279" t="s">
        <v>43</v>
      </c>
      <c r="O217" s="280"/>
      <c r="P217" s="280"/>
      <c r="Q217" s="280"/>
      <c r="R217" s="281"/>
      <c r="S217" s="340">
        <v>0.75</v>
      </c>
      <c r="T217" s="341"/>
      <c r="U217" s="340">
        <v>0.25</v>
      </c>
      <c r="V217" s="342"/>
      <c r="W217" s="341"/>
      <c r="X217"/>
      <c r="Y217"/>
      <c r="Z217"/>
      <c r="AA217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53"/>
      <c r="AO217" s="54"/>
      <c r="AP217" s="54"/>
      <c r="AQ217" s="54"/>
    </row>
    <row r="218" spans="1:49" s="39" customFormat="1" x14ac:dyDescent="0.25">
      <c r="A218" s="112"/>
      <c r="B218" s="4"/>
      <c r="C218" s="4"/>
      <c r="D218" s="4"/>
      <c r="E218" s="113"/>
      <c r="F218" s="111"/>
      <c r="G218" s="103"/>
      <c r="H218" s="48" t="s">
        <v>44</v>
      </c>
      <c r="I218" s="279" t="s">
        <v>45</v>
      </c>
      <c r="J218" s="280"/>
      <c r="K218" s="280"/>
      <c r="L218" s="281"/>
      <c r="M218" s="49" t="s">
        <v>46</v>
      </c>
      <c r="N218" s="279" t="s">
        <v>47</v>
      </c>
      <c r="O218" s="280"/>
      <c r="P218" s="280"/>
      <c r="Q218" s="280"/>
      <c r="R218" s="281"/>
      <c r="S218" s="276">
        <v>0.25</v>
      </c>
      <c r="T218" s="278"/>
      <c r="U218" s="276">
        <v>0.75</v>
      </c>
      <c r="V218" s="277"/>
      <c r="W218" s="278"/>
      <c r="X218"/>
      <c r="Y218"/>
      <c r="Z218"/>
      <c r="AA218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53"/>
      <c r="AO218" s="54"/>
      <c r="AP218" s="54"/>
      <c r="AQ218" s="54"/>
    </row>
    <row r="219" spans="1:49" s="39" customFormat="1" x14ac:dyDescent="0.25">
      <c r="A219" s="112"/>
      <c r="B219" s="4"/>
      <c r="C219" s="4"/>
      <c r="D219" s="4"/>
      <c r="E219" s="113"/>
      <c r="F219" s="111"/>
      <c r="G219" s="103"/>
      <c r="H219" s="1" t="s">
        <v>48</v>
      </c>
      <c r="I219" s="279" t="s">
        <v>49</v>
      </c>
      <c r="J219" s="280"/>
      <c r="K219" s="280"/>
      <c r="L219" s="281"/>
      <c r="M219" s="39" t="s">
        <v>50</v>
      </c>
      <c r="N219" s="279" t="s">
        <v>51</v>
      </c>
      <c r="O219" s="280"/>
      <c r="P219" s="280"/>
      <c r="Q219" s="280"/>
      <c r="R219" s="281"/>
      <c r="S219" s="276">
        <v>0.70833333333333337</v>
      </c>
      <c r="T219" s="282"/>
      <c r="U219" s="19"/>
      <c r="V219" s="21">
        <v>0.20833333333333334</v>
      </c>
      <c r="W219" s="22"/>
      <c r="X219"/>
      <c r="Y219"/>
      <c r="Z219"/>
      <c r="AA219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53"/>
      <c r="AO219" s="54"/>
      <c r="AP219" s="54"/>
      <c r="AQ219" s="54"/>
    </row>
    <row r="220" spans="1:49" s="39" customFormat="1" x14ac:dyDescent="0.25">
      <c r="A220" s="112"/>
      <c r="B220" s="4"/>
      <c r="C220" s="4"/>
      <c r="D220" s="4"/>
      <c r="E220" s="113"/>
      <c r="F220" s="111"/>
      <c r="G220" s="103"/>
      <c r="H220" s="1" t="s">
        <v>29</v>
      </c>
      <c r="I220" s="279" t="s">
        <v>52</v>
      </c>
      <c r="J220" s="280"/>
      <c r="K220" s="280"/>
      <c r="L220" s="281"/>
      <c r="M220" s="1" t="s">
        <v>53</v>
      </c>
      <c r="N220" s="279" t="s">
        <v>54</v>
      </c>
      <c r="O220" s="280"/>
      <c r="P220" s="280"/>
      <c r="Q220" s="280"/>
      <c r="R220" s="281"/>
      <c r="S220" s="276">
        <v>0.20833333333333334</v>
      </c>
      <c r="T220" s="282"/>
      <c r="U220" s="19"/>
      <c r="V220" s="21">
        <v>0.70833333333333337</v>
      </c>
      <c r="W220" s="22"/>
      <c r="X220"/>
      <c r="Y220"/>
      <c r="Z220"/>
      <c r="AA220"/>
      <c r="AB220" s="52"/>
      <c r="AC220" s="52"/>
      <c r="AD220" s="52"/>
      <c r="AE220" s="52"/>
      <c r="AF220" s="52"/>
      <c r="AG220" s="52"/>
      <c r="AH220" s="52"/>
      <c r="AI220" s="53"/>
      <c r="AJ220" s="53"/>
      <c r="AK220" s="53"/>
      <c r="AL220" s="53"/>
      <c r="AM220" s="53"/>
      <c r="AN220" s="53"/>
      <c r="AO220" s="54"/>
      <c r="AP220" s="54"/>
      <c r="AQ220" s="54"/>
    </row>
    <row r="221" spans="1:49" s="39" customFormat="1" x14ac:dyDescent="0.25">
      <c r="A221" s="112"/>
      <c r="B221" s="4"/>
      <c r="C221" s="4"/>
      <c r="D221" s="4"/>
      <c r="E221" s="113"/>
      <c r="F221" s="111"/>
      <c r="G221" s="103"/>
      <c r="H221" s="36" t="s">
        <v>28</v>
      </c>
      <c r="I221" s="331" t="s">
        <v>55</v>
      </c>
      <c r="J221" s="332"/>
      <c r="K221" s="332"/>
      <c r="L221" s="333"/>
      <c r="M221" s="36" t="s">
        <v>31</v>
      </c>
      <c r="N221" s="331" t="s">
        <v>56</v>
      </c>
      <c r="O221" s="332"/>
      <c r="P221" s="332"/>
      <c r="Q221" s="332"/>
      <c r="R221" s="333"/>
      <c r="S221" s="276"/>
      <c r="T221" s="278"/>
      <c r="U221" s="276"/>
      <c r="V221" s="277"/>
      <c r="W221" s="278"/>
      <c r="X221"/>
      <c r="Y221"/>
      <c r="Z221"/>
      <c r="AA221"/>
      <c r="AB221" s="52"/>
      <c r="AC221" s="52"/>
      <c r="AD221" s="52"/>
      <c r="AE221" s="52"/>
      <c r="AF221" s="52"/>
      <c r="AG221" s="52"/>
      <c r="AH221" s="52"/>
      <c r="AI221" s="53"/>
      <c r="AJ221" s="53"/>
      <c r="AK221" s="53"/>
      <c r="AL221" s="53"/>
      <c r="AM221" s="53"/>
      <c r="AN221" s="53"/>
      <c r="AO221" s="54"/>
      <c r="AP221" s="54"/>
      <c r="AQ221" s="54"/>
    </row>
    <row r="222" spans="1:49" s="39" customFormat="1" x14ac:dyDescent="0.25">
      <c r="A222" s="112"/>
      <c r="B222" s="4"/>
      <c r="C222" s="4"/>
      <c r="D222" s="4"/>
      <c r="E222" s="113"/>
      <c r="F222" s="111"/>
      <c r="G222" s="103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3"/>
      <c r="AJ222" s="53"/>
      <c r="AK222" s="53"/>
      <c r="AL222" s="53"/>
      <c r="AM222" s="53"/>
      <c r="AN222" s="53"/>
      <c r="AO222" s="54"/>
      <c r="AP222" s="54"/>
      <c r="AQ222" s="54"/>
    </row>
    <row r="223" spans="1:49" s="39" customFormat="1" x14ac:dyDescent="0.25">
      <c r="A223" s="112"/>
      <c r="B223" s="4"/>
      <c r="C223" s="4"/>
      <c r="D223" s="4"/>
      <c r="E223" s="113"/>
      <c r="F223" s="111"/>
      <c r="G223" s="103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3"/>
      <c r="AJ223" s="53"/>
      <c r="AK223" s="53"/>
      <c r="AL223" s="53"/>
      <c r="AM223" s="53"/>
      <c r="AN223" s="53"/>
      <c r="AO223" s="54"/>
      <c r="AP223" s="54"/>
      <c r="AQ223" s="54"/>
    </row>
    <row r="224" spans="1:49" s="39" customFormat="1" x14ac:dyDescent="0.25">
      <c r="A224" s="112"/>
      <c r="B224" s="4"/>
      <c r="C224" s="4"/>
      <c r="D224" s="4"/>
      <c r="E224" s="113"/>
      <c r="F224" s="111"/>
      <c r="G224" s="103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3"/>
      <c r="AJ224" s="53"/>
      <c r="AK224" s="53"/>
      <c r="AL224" s="53"/>
      <c r="AM224" s="53"/>
      <c r="AN224" s="53"/>
      <c r="AO224" s="54"/>
      <c r="AP224" s="54"/>
      <c r="AQ224" s="54"/>
    </row>
    <row r="225" spans="1:49" ht="15" customHeight="1" x14ac:dyDescent="0.25">
      <c r="A225" s="114"/>
      <c r="E225" s="115"/>
      <c r="F225" s="367" t="s">
        <v>113</v>
      </c>
      <c r="G225" s="368"/>
      <c r="H225" s="309" t="s">
        <v>1</v>
      </c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10"/>
      <c r="AG225" s="310"/>
      <c r="AH225" s="311"/>
      <c r="AI225" s="371" t="s">
        <v>2</v>
      </c>
      <c r="AJ225" s="372"/>
      <c r="AK225" s="372"/>
      <c r="AL225" s="372"/>
      <c r="AM225" s="372"/>
      <c r="AN225" s="373"/>
      <c r="AO225" s="3"/>
      <c r="AP225" s="3"/>
      <c r="AQ225" s="3"/>
      <c r="AR225" s="4"/>
      <c r="AS225" s="4"/>
      <c r="AT225" s="4"/>
      <c r="AU225" s="4"/>
      <c r="AV225" s="4"/>
      <c r="AW225" s="4"/>
    </row>
    <row r="226" spans="1:49" ht="12.75" customHeight="1" x14ac:dyDescent="0.25">
      <c r="A226" s="114"/>
      <c r="E226" s="115"/>
      <c r="F226" s="369"/>
      <c r="G226" s="370"/>
      <c r="H226" s="312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  <c r="T226" s="313"/>
      <c r="U226" s="313"/>
      <c r="V226" s="313"/>
      <c r="W226" s="313"/>
      <c r="X226" s="313"/>
      <c r="Y226" s="313"/>
      <c r="Z226" s="313"/>
      <c r="AA226" s="313"/>
      <c r="AB226" s="313"/>
      <c r="AC226" s="313"/>
      <c r="AD226" s="313"/>
      <c r="AE226" s="313"/>
      <c r="AF226" s="313"/>
      <c r="AG226" s="313"/>
      <c r="AH226" s="314"/>
      <c r="AI226" s="361"/>
      <c r="AJ226" s="362"/>
      <c r="AK226" s="362"/>
      <c r="AL226" s="362"/>
      <c r="AM226" s="362"/>
      <c r="AN226" s="363"/>
      <c r="AO226" s="3"/>
      <c r="AP226" s="3"/>
      <c r="AQ226" s="3"/>
      <c r="AR226" s="4"/>
      <c r="AS226" s="4"/>
      <c r="AT226" s="4"/>
      <c r="AU226" s="4"/>
      <c r="AV226" s="4"/>
      <c r="AW226" s="4"/>
    </row>
    <row r="227" spans="1:49" ht="15" customHeight="1" x14ac:dyDescent="0.25">
      <c r="A227" s="114"/>
      <c r="E227" s="115"/>
      <c r="F227" s="369"/>
      <c r="G227" s="370"/>
      <c r="H227" s="307" t="s">
        <v>3</v>
      </c>
      <c r="I227" s="290"/>
      <c r="J227" s="290"/>
      <c r="K227" s="291" t="s">
        <v>4</v>
      </c>
      <c r="L227" s="291"/>
      <c r="M227" s="291"/>
      <c r="N227" s="291"/>
      <c r="O227" s="291"/>
      <c r="P227" s="291"/>
      <c r="Q227" s="291"/>
      <c r="R227" s="291"/>
      <c r="S227" s="291"/>
      <c r="T227" s="291"/>
      <c r="U227" s="291"/>
      <c r="V227" s="291"/>
      <c r="W227" s="291"/>
      <c r="X227" s="291"/>
      <c r="Y227" s="291"/>
      <c r="Z227" s="291"/>
      <c r="AA227" s="291"/>
      <c r="AB227" s="291"/>
      <c r="AC227" s="291"/>
      <c r="AD227" s="291"/>
      <c r="AE227" s="291"/>
      <c r="AF227" s="291"/>
      <c r="AG227" s="291"/>
      <c r="AH227" s="292"/>
      <c r="AI227" s="289" t="s">
        <v>5</v>
      </c>
      <c r="AJ227" s="289"/>
      <c r="AK227" s="289"/>
      <c r="AL227" s="289"/>
      <c r="AM227" s="289"/>
      <c r="AN227" s="289"/>
      <c r="AO227" s="3"/>
      <c r="AP227" s="3"/>
      <c r="AQ227" s="3"/>
      <c r="AR227" s="4"/>
      <c r="AS227" s="4"/>
      <c r="AT227" s="4"/>
      <c r="AU227" s="4"/>
      <c r="AV227" s="4"/>
      <c r="AW227" s="4"/>
    </row>
    <row r="228" spans="1:49" ht="15" customHeight="1" x14ac:dyDescent="0.25">
      <c r="A228" s="114"/>
      <c r="E228" s="115"/>
      <c r="F228" s="374" t="s">
        <v>103</v>
      </c>
      <c r="G228" s="375"/>
      <c r="H228" s="5" t="s">
        <v>6</v>
      </c>
      <c r="I228" s="6"/>
      <c r="J228" s="6"/>
      <c r="K228" s="291" t="s">
        <v>7</v>
      </c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  <c r="W228" s="291"/>
      <c r="X228" s="291"/>
      <c r="Y228" s="291"/>
      <c r="Z228" s="291"/>
      <c r="AA228" s="291"/>
      <c r="AB228" s="291"/>
      <c r="AC228" s="291"/>
      <c r="AD228" s="291"/>
      <c r="AE228" s="291"/>
      <c r="AF228" s="291"/>
      <c r="AG228" s="291"/>
      <c r="AH228" s="292"/>
      <c r="AI228" s="289"/>
      <c r="AJ228" s="289"/>
      <c r="AK228" s="289"/>
      <c r="AL228" s="289"/>
      <c r="AM228" s="289"/>
      <c r="AN228" s="289"/>
      <c r="AO228" s="3"/>
      <c r="AP228" s="3"/>
      <c r="AQ228" s="3"/>
      <c r="AR228" s="4"/>
      <c r="AS228" s="4"/>
      <c r="AT228" s="4"/>
      <c r="AU228" s="4"/>
      <c r="AV228" s="4"/>
      <c r="AW228" s="4"/>
    </row>
    <row r="229" spans="1:49" ht="15" customHeight="1" x14ac:dyDescent="0.25">
      <c r="A229" s="114"/>
      <c r="E229" s="115"/>
      <c r="F229" s="374"/>
      <c r="G229" s="375"/>
      <c r="H229" s="307" t="s">
        <v>8</v>
      </c>
      <c r="I229" s="290"/>
      <c r="J229" s="290"/>
      <c r="K229" s="291" t="s">
        <v>9</v>
      </c>
      <c r="L229" s="291"/>
      <c r="M229" s="291"/>
      <c r="N229" s="291"/>
      <c r="O229" s="291"/>
      <c r="P229" s="291"/>
      <c r="Q229" s="291"/>
      <c r="R229" s="291"/>
      <c r="S229" s="291"/>
      <c r="T229" s="291"/>
      <c r="U229" s="291"/>
      <c r="V229" s="291"/>
      <c r="W229" s="291"/>
      <c r="X229" s="291"/>
      <c r="Y229" s="291"/>
      <c r="Z229" s="291"/>
      <c r="AA229" s="291"/>
      <c r="AB229" s="291"/>
      <c r="AC229" s="291"/>
      <c r="AD229" s="291"/>
      <c r="AE229" s="291"/>
      <c r="AF229" s="291"/>
      <c r="AG229" s="291"/>
      <c r="AH229" s="292"/>
      <c r="AI229" s="289" t="s">
        <v>10</v>
      </c>
      <c r="AJ229" s="289"/>
      <c r="AK229" s="289"/>
      <c r="AL229" s="289"/>
      <c r="AM229" s="289"/>
      <c r="AN229" s="289"/>
      <c r="AO229" s="3"/>
      <c r="AP229" s="3"/>
      <c r="AQ229" s="3"/>
      <c r="AR229" s="4"/>
      <c r="AS229" s="4"/>
      <c r="AT229" s="4"/>
      <c r="AU229" s="4"/>
      <c r="AV229" s="4"/>
      <c r="AW229" s="4"/>
    </row>
    <row r="230" spans="1:49" ht="15" customHeight="1" x14ac:dyDescent="0.25">
      <c r="A230" s="83"/>
      <c r="B230" s="116"/>
      <c r="C230" s="116"/>
      <c r="D230" s="116"/>
      <c r="E230" s="117"/>
      <c r="F230" s="374"/>
      <c r="G230" s="375"/>
      <c r="H230" s="308" t="s">
        <v>11</v>
      </c>
      <c r="I230" s="293"/>
      <c r="J230" s="293"/>
      <c r="K230" s="294" t="s">
        <v>12</v>
      </c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  <c r="AC230" s="294"/>
      <c r="AD230" s="294"/>
      <c r="AE230" s="294"/>
      <c r="AF230" s="294"/>
      <c r="AG230" s="294"/>
      <c r="AH230" s="295"/>
      <c r="AI230" s="289"/>
      <c r="AJ230" s="289"/>
      <c r="AK230" s="289"/>
      <c r="AL230" s="289"/>
      <c r="AM230" s="289"/>
      <c r="AN230" s="289"/>
      <c r="AO230" s="2"/>
      <c r="AP230" s="2"/>
      <c r="AQ230" s="2"/>
      <c r="AR230" s="300" t="s">
        <v>13</v>
      </c>
      <c r="AS230" s="300"/>
      <c r="AT230" s="300" t="s">
        <v>14</v>
      </c>
      <c r="AU230" s="300"/>
      <c r="AV230" s="300"/>
      <c r="AW230" s="4"/>
    </row>
    <row r="231" spans="1:49" ht="18.75" x14ac:dyDescent="0.25">
      <c r="A231" s="118" t="s">
        <v>15</v>
      </c>
      <c r="B231" s="119" t="s">
        <v>16</v>
      </c>
      <c r="C231" s="9" t="s">
        <v>17</v>
      </c>
      <c r="D231" s="9" t="s">
        <v>18</v>
      </c>
      <c r="E231" s="9" t="s">
        <v>19</v>
      </c>
      <c r="F231" s="10" t="s">
        <v>20</v>
      </c>
      <c r="G231" s="7" t="s">
        <v>21</v>
      </c>
      <c r="H231" s="7" t="s">
        <v>22</v>
      </c>
      <c r="I231" s="7" t="s">
        <v>23</v>
      </c>
      <c r="J231" s="247" t="s">
        <v>132</v>
      </c>
      <c r="K231" s="247" t="s">
        <v>133</v>
      </c>
      <c r="L231" s="247" t="s">
        <v>134</v>
      </c>
      <c r="M231" s="247" t="s">
        <v>135</v>
      </c>
      <c r="N231" s="247" t="s">
        <v>136</v>
      </c>
      <c r="O231" s="247" t="s">
        <v>137</v>
      </c>
      <c r="P231" s="155" t="s">
        <v>138</v>
      </c>
      <c r="Q231" s="155" t="s">
        <v>139</v>
      </c>
      <c r="R231" s="247" t="s">
        <v>140</v>
      </c>
      <c r="S231" s="247" t="s">
        <v>141</v>
      </c>
      <c r="T231" s="247" t="s">
        <v>142</v>
      </c>
      <c r="U231" s="247" t="s">
        <v>143</v>
      </c>
      <c r="V231" s="247" t="s">
        <v>144</v>
      </c>
      <c r="W231" s="155" t="s">
        <v>145</v>
      </c>
      <c r="X231" s="155" t="s">
        <v>146</v>
      </c>
      <c r="Y231" s="247" t="s">
        <v>147</v>
      </c>
      <c r="Z231" s="247" t="s">
        <v>148</v>
      </c>
      <c r="AA231" s="247" t="s">
        <v>149</v>
      </c>
      <c r="AB231" s="247" t="s">
        <v>150</v>
      </c>
      <c r="AC231" s="247" t="s">
        <v>151</v>
      </c>
      <c r="AD231" s="155" t="s">
        <v>152</v>
      </c>
      <c r="AE231" s="247" t="s">
        <v>153</v>
      </c>
      <c r="AF231" s="247" t="s">
        <v>154</v>
      </c>
      <c r="AG231" s="247" t="s">
        <v>155</v>
      </c>
      <c r="AH231" s="248" t="s">
        <v>156</v>
      </c>
      <c r="AI231" s="247" t="s">
        <v>157</v>
      </c>
      <c r="AJ231" s="247" t="s">
        <v>158</v>
      </c>
      <c r="AK231" s="155" t="s">
        <v>159</v>
      </c>
      <c r="AL231" s="155" t="s">
        <v>160</v>
      </c>
      <c r="AM231" s="247" t="s">
        <v>161</v>
      </c>
      <c r="AN231" s="249" t="s">
        <v>162</v>
      </c>
      <c r="AO231" s="11" t="s">
        <v>24</v>
      </c>
      <c r="AP231" s="11" t="s">
        <v>25</v>
      </c>
      <c r="AQ231" s="11" t="s">
        <v>26</v>
      </c>
      <c r="AR231" s="340">
        <v>0.75</v>
      </c>
      <c r="AS231" s="341"/>
      <c r="AT231" s="340">
        <v>0.25</v>
      </c>
      <c r="AU231" s="342"/>
      <c r="AV231" s="341"/>
      <c r="AW231" s="9"/>
    </row>
    <row r="232" spans="1:49" x14ac:dyDescent="0.25">
      <c r="F232" s="31">
        <v>1041150055</v>
      </c>
      <c r="G232" s="31" t="s">
        <v>110</v>
      </c>
      <c r="H232" s="15">
        <v>2026</v>
      </c>
      <c r="I232" s="15" t="s">
        <v>163</v>
      </c>
      <c r="J232" s="163" t="s">
        <v>29</v>
      </c>
      <c r="K232" s="163" t="s">
        <v>29</v>
      </c>
      <c r="L232" s="163" t="s">
        <v>29</v>
      </c>
      <c r="M232" s="161"/>
      <c r="N232" s="161"/>
      <c r="O232" s="167" t="s">
        <v>31</v>
      </c>
      <c r="P232" s="262" t="s">
        <v>165</v>
      </c>
      <c r="Q232" s="262" t="s">
        <v>165</v>
      </c>
      <c r="R232" s="163" t="s">
        <v>28</v>
      </c>
      <c r="S232" s="163" t="s">
        <v>28</v>
      </c>
      <c r="T232" s="163" t="s">
        <v>28</v>
      </c>
      <c r="U232" s="163" t="s">
        <v>28</v>
      </c>
      <c r="V232" s="163" t="s">
        <v>29</v>
      </c>
      <c r="W232" s="163" t="s">
        <v>29</v>
      </c>
      <c r="X232" s="163" t="s">
        <v>29</v>
      </c>
      <c r="Y232" s="163" t="s">
        <v>29</v>
      </c>
      <c r="Z232" s="163" t="s">
        <v>29</v>
      </c>
      <c r="AA232" s="163" t="s">
        <v>29</v>
      </c>
      <c r="AB232" s="161"/>
      <c r="AC232" s="161"/>
      <c r="AD232" s="162"/>
      <c r="AE232" s="163" t="s">
        <v>28</v>
      </c>
      <c r="AF232" s="163" t="s">
        <v>28</v>
      </c>
      <c r="AG232" s="163" t="s">
        <v>28</v>
      </c>
      <c r="AH232" s="163" t="s">
        <v>28</v>
      </c>
      <c r="AI232" s="163" t="s">
        <v>28</v>
      </c>
      <c r="AJ232" s="163" t="s">
        <v>28</v>
      </c>
      <c r="AK232" s="163" t="s">
        <v>29</v>
      </c>
      <c r="AL232" s="163" t="s">
        <v>29</v>
      </c>
      <c r="AM232" s="163" t="s">
        <v>29</v>
      </c>
      <c r="AN232" s="163"/>
      <c r="AO232" s="16">
        <f>COUNTIF(Tabla130[[#This Row],[1L]:[Columna1]],"D12")</f>
        <v>10</v>
      </c>
      <c r="AP232" s="17">
        <f>COUNTIF(Tabla130[[#This Row],[1L]:[Columna1]],"N12")</f>
        <v>12</v>
      </c>
      <c r="AQ232" s="18">
        <f>COUNTBLANK(Tabla130[[#This Row],[1L]:[Columna1]])</f>
        <v>6</v>
      </c>
      <c r="AR232" s="276">
        <v>0.25</v>
      </c>
      <c r="AS232" s="278"/>
      <c r="AT232" s="276">
        <v>0.75</v>
      </c>
      <c r="AU232" s="277"/>
      <c r="AV232" s="278"/>
      <c r="AW232" s="4"/>
    </row>
    <row r="233" spans="1:49" x14ac:dyDescent="0.25">
      <c r="F233" s="31">
        <v>1090577263</v>
      </c>
      <c r="G233" s="31" t="s">
        <v>111</v>
      </c>
      <c r="H233" s="15">
        <v>2026</v>
      </c>
      <c r="I233" s="15" t="s">
        <v>163</v>
      </c>
      <c r="J233" s="166" t="s">
        <v>28</v>
      </c>
      <c r="K233" s="166" t="s">
        <v>28</v>
      </c>
      <c r="L233" s="166" t="s">
        <v>28</v>
      </c>
      <c r="M233" s="166" t="s">
        <v>28</v>
      </c>
      <c r="N233" s="166" t="s">
        <v>28</v>
      </c>
      <c r="O233" s="166" t="s">
        <v>28</v>
      </c>
      <c r="P233" s="166" t="s">
        <v>29</v>
      </c>
      <c r="Q233" s="166" t="s">
        <v>29</v>
      </c>
      <c r="R233" s="166" t="s">
        <v>29</v>
      </c>
      <c r="S233" s="166" t="s">
        <v>29</v>
      </c>
      <c r="T233" s="166" t="s">
        <v>29</v>
      </c>
      <c r="U233" s="166" t="s">
        <v>29</v>
      </c>
      <c r="V233" s="164"/>
      <c r="W233" s="164"/>
      <c r="X233" s="165"/>
      <c r="Y233" s="166" t="s">
        <v>28</v>
      </c>
      <c r="Z233" s="166" t="s">
        <v>28</v>
      </c>
      <c r="AA233" s="166" t="s">
        <v>28</v>
      </c>
      <c r="AB233" s="166" t="s">
        <v>28</v>
      </c>
      <c r="AC233" s="166" t="s">
        <v>28</v>
      </c>
      <c r="AD233" s="166" t="s">
        <v>28</v>
      </c>
      <c r="AE233" s="166" t="s">
        <v>29</v>
      </c>
      <c r="AF233" s="166" t="s">
        <v>29</v>
      </c>
      <c r="AG233" s="166" t="s">
        <v>29</v>
      </c>
      <c r="AH233" s="166" t="s">
        <v>29</v>
      </c>
      <c r="AI233" s="166" t="s">
        <v>29</v>
      </c>
      <c r="AJ233" s="166" t="s">
        <v>29</v>
      </c>
      <c r="AK233" s="164"/>
      <c r="AL233" s="164"/>
      <c r="AM233" s="165"/>
      <c r="AN233" s="166"/>
      <c r="AO233" s="17">
        <f>COUNTIF(Tabla130[[#This Row],[1L]:[Columna1]],"D12")</f>
        <v>12</v>
      </c>
      <c r="AP233" s="17">
        <f>COUNTIF(Tabla130[[#This Row],[1L]:[Columna1]],"N12")</f>
        <v>12</v>
      </c>
      <c r="AQ233" s="18">
        <f>COUNTBLANK(Tabla130[[#This Row],[1L]:[Columna1]])</f>
        <v>7</v>
      </c>
      <c r="AR233" s="19"/>
      <c r="AS233" s="22"/>
      <c r="AT233" s="19"/>
      <c r="AU233" s="23"/>
      <c r="AV233" s="22"/>
      <c r="AW233" s="4"/>
    </row>
    <row r="234" spans="1:49" x14ac:dyDescent="0.25">
      <c r="F234" s="146">
        <v>1102834250</v>
      </c>
      <c r="G234" s="120" t="s">
        <v>104</v>
      </c>
      <c r="H234" s="15">
        <v>2026</v>
      </c>
      <c r="I234" s="15" t="s">
        <v>163</v>
      </c>
      <c r="J234" s="161"/>
      <c r="K234" s="161"/>
      <c r="L234" s="162"/>
      <c r="M234" s="163" t="s">
        <v>28</v>
      </c>
      <c r="N234" s="163" t="s">
        <v>28</v>
      </c>
      <c r="O234" s="163" t="s">
        <v>28</v>
      </c>
      <c r="P234" s="163" t="s">
        <v>28</v>
      </c>
      <c r="Q234" s="163" t="s">
        <v>28</v>
      </c>
      <c r="R234" s="163" t="s">
        <v>28</v>
      </c>
      <c r="S234" s="163" t="s">
        <v>28</v>
      </c>
      <c r="T234" s="160" t="s">
        <v>29</v>
      </c>
      <c r="U234" s="163" t="s">
        <v>29</v>
      </c>
      <c r="V234" s="160" t="s">
        <v>29</v>
      </c>
      <c r="W234" s="160" t="s">
        <v>29</v>
      </c>
      <c r="X234" s="160" t="s">
        <v>29</v>
      </c>
      <c r="Y234" s="161"/>
      <c r="Z234" s="161"/>
      <c r="AA234" s="162"/>
      <c r="AB234" s="163" t="s">
        <v>28</v>
      </c>
      <c r="AC234" s="163" t="s">
        <v>28</v>
      </c>
      <c r="AD234" s="163" t="s">
        <v>28</v>
      </c>
      <c r="AE234" s="163" t="s">
        <v>28</v>
      </c>
      <c r="AF234" s="163" t="s">
        <v>28</v>
      </c>
      <c r="AG234" s="163" t="s">
        <v>28</v>
      </c>
      <c r="AH234" s="166" t="s">
        <v>29</v>
      </c>
      <c r="AI234" s="166" t="s">
        <v>29</v>
      </c>
      <c r="AJ234" s="166" t="s">
        <v>29</v>
      </c>
      <c r="AK234" s="166" t="s">
        <v>29</v>
      </c>
      <c r="AL234" s="160" t="s">
        <v>29</v>
      </c>
      <c r="AM234" s="160" t="s">
        <v>29</v>
      </c>
      <c r="AN234" s="160"/>
      <c r="AO234" s="17">
        <f>COUNTIF(Tabla130[[#This Row],[1L]:[Columna1]],"D12")</f>
        <v>13</v>
      </c>
      <c r="AP234" s="17">
        <f>COUNTIF(Tabla130[[#This Row],[1L]:[Columna1]],"N12")</f>
        <v>11</v>
      </c>
      <c r="AQ234" s="18">
        <f>COUNTBLANK(Tabla130[[#This Row],[1L]:[Columna1]])</f>
        <v>7</v>
      </c>
      <c r="AR234" s="19"/>
      <c r="AS234" s="22"/>
      <c r="AT234" s="19"/>
      <c r="AU234" s="23"/>
      <c r="AV234" s="22"/>
      <c r="AW234" s="4"/>
    </row>
    <row r="235" spans="1:49" x14ac:dyDescent="0.25">
      <c r="F235" s="50">
        <v>1069479101</v>
      </c>
      <c r="G235" s="50" t="s">
        <v>123</v>
      </c>
      <c r="H235" s="15">
        <v>2026</v>
      </c>
      <c r="I235" s="15" t="s">
        <v>163</v>
      </c>
      <c r="J235" s="166" t="s">
        <v>29</v>
      </c>
      <c r="K235" s="166" t="s">
        <v>29</v>
      </c>
      <c r="L235" s="166" t="s">
        <v>29</v>
      </c>
      <c r="M235" s="166" t="s">
        <v>29</v>
      </c>
      <c r="N235" s="166" t="s">
        <v>29</v>
      </c>
      <c r="O235" s="166" t="s">
        <v>29</v>
      </c>
      <c r="P235" s="166" t="s">
        <v>29</v>
      </c>
      <c r="Q235" s="166" t="s">
        <v>29</v>
      </c>
      <c r="R235" s="161"/>
      <c r="S235" s="161"/>
      <c r="T235" s="166" t="s">
        <v>28</v>
      </c>
      <c r="U235" s="166" t="s">
        <v>28</v>
      </c>
      <c r="V235" s="166" t="s">
        <v>28</v>
      </c>
      <c r="W235" s="166" t="s">
        <v>28</v>
      </c>
      <c r="X235" s="166" t="s">
        <v>28</v>
      </c>
      <c r="Y235" s="166" t="s">
        <v>29</v>
      </c>
      <c r="Z235" s="166" t="s">
        <v>29</v>
      </c>
      <c r="AA235" s="166" t="s">
        <v>29</v>
      </c>
      <c r="AB235" s="166" t="s">
        <v>29</v>
      </c>
      <c r="AC235" s="166" t="s">
        <v>29</v>
      </c>
      <c r="AD235" s="166" t="s">
        <v>29</v>
      </c>
      <c r="AE235" s="164"/>
      <c r="AF235" s="164"/>
      <c r="AG235" s="165"/>
      <c r="AH235" s="166" t="s">
        <v>28</v>
      </c>
      <c r="AI235" s="166" t="s">
        <v>28</v>
      </c>
      <c r="AJ235" s="166" t="s">
        <v>28</v>
      </c>
      <c r="AK235" s="166" t="s">
        <v>28</v>
      </c>
      <c r="AL235" s="166" t="s">
        <v>28</v>
      </c>
      <c r="AM235" s="166" t="s">
        <v>28</v>
      </c>
      <c r="AN235" s="166"/>
      <c r="AO235" s="17">
        <f>COUNTIF(Tabla130[[#This Row],[1L]:[Columna1]],"D12")</f>
        <v>11</v>
      </c>
      <c r="AP235" s="17">
        <f>COUNTIF(Tabla130[[#This Row],[1L]:[Columna1]],"N12")</f>
        <v>14</v>
      </c>
      <c r="AQ235" s="27">
        <f>COUNTBLANK(Tabla130[[#This Row],[1L]:[Columna1]])</f>
        <v>6</v>
      </c>
      <c r="AR235" s="19"/>
      <c r="AS235" s="23"/>
      <c r="AT235" s="19"/>
      <c r="AU235" s="23"/>
      <c r="AV235" s="22"/>
      <c r="AW235" s="4"/>
    </row>
    <row r="236" spans="1:49" x14ac:dyDescent="0.25">
      <c r="F236" s="31">
        <v>1036392244</v>
      </c>
      <c r="G236" s="31" t="s">
        <v>109</v>
      </c>
      <c r="H236" s="15">
        <v>2026</v>
      </c>
      <c r="I236" s="15" t="s">
        <v>163</v>
      </c>
      <c r="J236" s="126" t="s">
        <v>28</v>
      </c>
      <c r="K236" s="126" t="s">
        <v>28</v>
      </c>
      <c r="L236" s="166" t="s">
        <v>28</v>
      </c>
      <c r="M236" s="167" t="s">
        <v>29</v>
      </c>
      <c r="N236" s="167" t="s">
        <v>29</v>
      </c>
      <c r="O236" s="167" t="s">
        <v>29</v>
      </c>
      <c r="P236" s="167" t="s">
        <v>29</v>
      </c>
      <c r="Q236" s="167" t="s">
        <v>29</v>
      </c>
      <c r="R236" s="167" t="s">
        <v>29</v>
      </c>
      <c r="S236" s="167" t="s">
        <v>29</v>
      </c>
      <c r="T236" s="167" t="s">
        <v>29</v>
      </c>
      <c r="U236" s="164"/>
      <c r="V236" s="163" t="s">
        <v>28</v>
      </c>
      <c r="W236" s="163" t="s">
        <v>28</v>
      </c>
      <c r="X236" s="163" t="s">
        <v>28</v>
      </c>
      <c r="Y236" s="166" t="s">
        <v>28</v>
      </c>
      <c r="Z236" s="166" t="s">
        <v>28</v>
      </c>
      <c r="AA236" s="166" t="s">
        <v>28</v>
      </c>
      <c r="AB236" s="160" t="s">
        <v>29</v>
      </c>
      <c r="AC236" s="160" t="s">
        <v>29</v>
      </c>
      <c r="AD236" s="160" t="s">
        <v>29</v>
      </c>
      <c r="AE236" s="167" t="s">
        <v>29</v>
      </c>
      <c r="AF236" s="167" t="s">
        <v>29</v>
      </c>
      <c r="AG236" s="167" t="s">
        <v>29</v>
      </c>
      <c r="AH236" s="164"/>
      <c r="AI236" s="164"/>
      <c r="AJ236" s="165"/>
      <c r="AK236" s="166" t="s">
        <v>28</v>
      </c>
      <c r="AL236" s="166" t="s">
        <v>28</v>
      </c>
      <c r="AM236" s="166" t="s">
        <v>28</v>
      </c>
      <c r="AN236" s="166"/>
      <c r="AO236" s="17">
        <f>COUNTIF(Tabla130[[#This Row],[1L]:[Columna1]],"D12")</f>
        <v>12</v>
      </c>
      <c r="AP236" s="17">
        <f>COUNTIF(Tabla130[[#This Row],[1L]:[Columna1]],"N12")</f>
        <v>14</v>
      </c>
      <c r="AQ236" s="27">
        <f>COUNTBLANK(Tabla130[[#This Row],[1L]:[Columna1]])</f>
        <v>5</v>
      </c>
      <c r="AR236" s="355"/>
      <c r="AS236" s="356"/>
      <c r="AT236" s="355"/>
      <c r="AU236" s="356"/>
      <c r="AV236" s="357"/>
      <c r="AW236" s="4"/>
    </row>
    <row r="237" spans="1:49" x14ac:dyDescent="0.25">
      <c r="F237" s="30"/>
      <c r="G237" s="31"/>
      <c r="H237" s="15">
        <v>2026</v>
      </c>
      <c r="I237" s="15" t="s">
        <v>163</v>
      </c>
      <c r="J237" s="166"/>
      <c r="K237" s="166"/>
      <c r="L237" s="166"/>
      <c r="M237" s="166"/>
      <c r="N237" s="167"/>
      <c r="O237" s="167"/>
      <c r="P237" s="167"/>
      <c r="Q237" s="167"/>
      <c r="R237" s="167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7"/>
      <c r="AD237" s="167"/>
      <c r="AE237" s="167"/>
      <c r="AF237" s="167"/>
      <c r="AG237" s="167"/>
      <c r="AH237" s="166"/>
      <c r="AI237" s="166"/>
      <c r="AJ237" s="166"/>
      <c r="AK237" s="166"/>
      <c r="AL237" s="166"/>
      <c r="AM237" s="166"/>
      <c r="AN237" s="194"/>
      <c r="AO237" s="17">
        <f>COUNTIF(Tabla130[[#This Row],[1L]:[Columna1]],"D12")</f>
        <v>0</v>
      </c>
      <c r="AP237" s="17">
        <f>COUNTIF(Tabla130[[#This Row],[1L]:[Columna1]],"N12")</f>
        <v>0</v>
      </c>
      <c r="AQ237" s="27">
        <f>COUNTBLANK(Tabla130[[#This Row],[1L]:[Columna1]])</f>
        <v>31</v>
      </c>
      <c r="AR237" s="169"/>
      <c r="AS237" s="169"/>
      <c r="AT237" s="169"/>
      <c r="AU237" s="169"/>
      <c r="AV237" s="169"/>
      <c r="AW237" s="4"/>
    </row>
    <row r="238" spans="1:49" ht="18.75" x14ac:dyDescent="0.25">
      <c r="F238" s="32"/>
      <c r="G238" s="1"/>
      <c r="H238" s="15">
        <v>2026</v>
      </c>
      <c r="I238" s="15" t="s">
        <v>163</v>
      </c>
      <c r="J238" s="150">
        <f t="shared" ref="J238:AM238" si="14">COUNTIF(J232:J236,"D12")</f>
        <v>2</v>
      </c>
      <c r="K238" s="150">
        <f t="shared" si="14"/>
        <v>2</v>
      </c>
      <c r="L238" s="150">
        <f t="shared" si="14"/>
        <v>2</v>
      </c>
      <c r="M238" s="150">
        <f t="shared" si="14"/>
        <v>2</v>
      </c>
      <c r="N238" s="150">
        <f t="shared" si="14"/>
        <v>2</v>
      </c>
      <c r="O238" s="150">
        <f t="shared" si="14"/>
        <v>2</v>
      </c>
      <c r="P238" s="150">
        <f t="shared" si="14"/>
        <v>1</v>
      </c>
      <c r="Q238" s="150">
        <f t="shared" si="14"/>
        <v>1</v>
      </c>
      <c r="R238" s="150">
        <f t="shared" si="14"/>
        <v>2</v>
      </c>
      <c r="S238" s="150">
        <f t="shared" si="14"/>
        <v>2</v>
      </c>
      <c r="T238" s="150">
        <f t="shared" si="14"/>
        <v>2</v>
      </c>
      <c r="U238" s="150">
        <f t="shared" si="14"/>
        <v>2</v>
      </c>
      <c r="V238" s="150">
        <f t="shared" si="14"/>
        <v>2</v>
      </c>
      <c r="W238" s="150">
        <f t="shared" si="14"/>
        <v>2</v>
      </c>
      <c r="X238" s="150">
        <f t="shared" si="14"/>
        <v>2</v>
      </c>
      <c r="Y238" s="150">
        <f t="shared" si="14"/>
        <v>2</v>
      </c>
      <c r="Z238" s="150">
        <f t="shared" si="14"/>
        <v>2</v>
      </c>
      <c r="AA238" s="150">
        <f t="shared" si="14"/>
        <v>2</v>
      </c>
      <c r="AB238" s="150">
        <f t="shared" si="14"/>
        <v>2</v>
      </c>
      <c r="AC238" s="150">
        <f t="shared" si="14"/>
        <v>2</v>
      </c>
      <c r="AD238" s="150">
        <f t="shared" si="14"/>
        <v>2</v>
      </c>
      <c r="AE238" s="150">
        <f t="shared" si="14"/>
        <v>2</v>
      </c>
      <c r="AF238" s="150">
        <f t="shared" si="14"/>
        <v>2</v>
      </c>
      <c r="AG238" s="150">
        <f t="shared" si="14"/>
        <v>2</v>
      </c>
      <c r="AH238" s="150">
        <f t="shared" si="14"/>
        <v>2</v>
      </c>
      <c r="AI238" s="150">
        <f t="shared" si="14"/>
        <v>2</v>
      </c>
      <c r="AJ238" s="150">
        <f t="shared" si="14"/>
        <v>2</v>
      </c>
      <c r="AK238" s="150">
        <f t="shared" si="14"/>
        <v>2</v>
      </c>
      <c r="AL238" s="150">
        <f t="shared" si="14"/>
        <v>2</v>
      </c>
      <c r="AM238" s="150">
        <f t="shared" si="14"/>
        <v>2</v>
      </c>
      <c r="AN238" s="150">
        <f>COUNTIF(AN231:AN236,"D12")</f>
        <v>0</v>
      </c>
      <c r="AO238" s="33"/>
      <c r="AP238" s="33"/>
      <c r="AQ238" s="34"/>
      <c r="AR238" s="4"/>
      <c r="AS238" s="4"/>
      <c r="AT238" s="4"/>
      <c r="AU238" s="4"/>
      <c r="AV238" s="4"/>
      <c r="AW238" s="4"/>
    </row>
    <row r="239" spans="1:49" ht="18.75" x14ac:dyDescent="0.25">
      <c r="F239" s="35"/>
      <c r="G239" s="36"/>
      <c r="H239" s="15">
        <v>2026</v>
      </c>
      <c r="I239" s="15" t="s">
        <v>163</v>
      </c>
      <c r="J239" s="151">
        <f t="shared" ref="J239:AM239" si="15">COUNTIF(J232:J236,"N12")</f>
        <v>2</v>
      </c>
      <c r="K239" s="150">
        <f t="shared" si="15"/>
        <v>2</v>
      </c>
      <c r="L239" s="150">
        <f t="shared" si="15"/>
        <v>2</v>
      </c>
      <c r="M239" s="150">
        <f t="shared" si="15"/>
        <v>2</v>
      </c>
      <c r="N239" s="150">
        <f t="shared" si="15"/>
        <v>2</v>
      </c>
      <c r="O239" s="150">
        <f t="shared" si="15"/>
        <v>2</v>
      </c>
      <c r="P239" s="150">
        <f t="shared" si="15"/>
        <v>3</v>
      </c>
      <c r="Q239" s="150">
        <f t="shared" si="15"/>
        <v>3</v>
      </c>
      <c r="R239" s="150">
        <f t="shared" si="15"/>
        <v>2</v>
      </c>
      <c r="S239" s="150">
        <f t="shared" si="15"/>
        <v>2</v>
      </c>
      <c r="T239" s="150">
        <f t="shared" si="15"/>
        <v>3</v>
      </c>
      <c r="U239" s="150">
        <f t="shared" si="15"/>
        <v>2</v>
      </c>
      <c r="V239" s="150">
        <f t="shared" si="15"/>
        <v>2</v>
      </c>
      <c r="W239" s="150">
        <f t="shared" si="15"/>
        <v>2</v>
      </c>
      <c r="X239" s="150">
        <f t="shared" si="15"/>
        <v>2</v>
      </c>
      <c r="Y239" s="150">
        <f t="shared" si="15"/>
        <v>2</v>
      </c>
      <c r="Z239" s="150">
        <f t="shared" si="15"/>
        <v>2</v>
      </c>
      <c r="AA239" s="150">
        <f t="shared" si="15"/>
        <v>2</v>
      </c>
      <c r="AB239" s="150">
        <f t="shared" si="15"/>
        <v>2</v>
      </c>
      <c r="AC239" s="150">
        <f t="shared" si="15"/>
        <v>2</v>
      </c>
      <c r="AD239" s="150">
        <f t="shared" si="15"/>
        <v>2</v>
      </c>
      <c r="AE239" s="150">
        <f t="shared" si="15"/>
        <v>2</v>
      </c>
      <c r="AF239" s="150">
        <f t="shared" si="15"/>
        <v>2</v>
      </c>
      <c r="AG239" s="150">
        <f t="shared" si="15"/>
        <v>2</v>
      </c>
      <c r="AH239" s="150">
        <f t="shared" si="15"/>
        <v>2</v>
      </c>
      <c r="AI239" s="150">
        <f t="shared" si="15"/>
        <v>2</v>
      </c>
      <c r="AJ239" s="150">
        <f t="shared" si="15"/>
        <v>2</v>
      </c>
      <c r="AK239" s="150">
        <f t="shared" si="15"/>
        <v>2</v>
      </c>
      <c r="AL239" s="150">
        <f t="shared" si="15"/>
        <v>2</v>
      </c>
      <c r="AM239" s="150">
        <f t="shared" si="15"/>
        <v>2</v>
      </c>
      <c r="AN239" s="151">
        <f>COUNTIF(AN231:AN236,"N12")</f>
        <v>0</v>
      </c>
      <c r="AO239" s="38"/>
      <c r="AP239" s="38"/>
      <c r="AQ239" s="34"/>
      <c r="AR239" s="4"/>
      <c r="AS239" s="4"/>
      <c r="AT239" s="4"/>
      <c r="AU239" s="4"/>
      <c r="AV239" s="4"/>
      <c r="AW239" s="4"/>
    </row>
    <row r="240" spans="1:49" s="39" customFormat="1" x14ac:dyDescent="0.25">
      <c r="A240" s="4"/>
      <c r="B240" s="4"/>
      <c r="C240" s="4"/>
      <c r="D240" s="4"/>
      <c r="E240" s="4"/>
      <c r="F240" s="134"/>
      <c r="G240" s="123"/>
      <c r="H240" s="123"/>
      <c r="I240" s="123"/>
      <c r="AO240" s="38">
        <f>COUNTIF(Tabla130[[#This Row],[1L]:[Columna1]],"D12")</f>
        <v>0</v>
      </c>
      <c r="AP240" s="38">
        <f>COUNTIF(Tabla130[[#This Row],[1L]:[Columna1]],"N12")</f>
        <v>0</v>
      </c>
      <c r="AQ240" s="38">
        <f>COUNTBLANK(Tabla130[[#This Row],[1L]:[Columna1]])</f>
        <v>31</v>
      </c>
    </row>
    <row r="241" spans="1:49" s="73" customFormat="1" x14ac:dyDescent="0.25">
      <c r="A241" s="4"/>
      <c r="B241" s="4"/>
      <c r="C241" s="4"/>
      <c r="D241" s="4"/>
      <c r="E241" s="113"/>
      <c r="F241" s="124"/>
      <c r="G241" s="125"/>
      <c r="H241" s="301" t="s">
        <v>36</v>
      </c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3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102"/>
      <c r="AO241" s="38"/>
      <c r="AP241" s="38"/>
      <c r="AQ241" s="38"/>
    </row>
    <row r="242" spans="1:49" s="73" customFormat="1" x14ac:dyDescent="0.25">
      <c r="A242" s="4"/>
      <c r="B242" s="4"/>
      <c r="C242" s="4"/>
      <c r="D242" s="4"/>
      <c r="E242" s="113"/>
      <c r="F242" s="124"/>
      <c r="G242" s="125"/>
      <c r="H242" s="304" t="s">
        <v>37</v>
      </c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  <c r="AA242" s="306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102"/>
      <c r="AO242" s="38"/>
      <c r="AP242" s="38"/>
      <c r="AQ242" s="38"/>
    </row>
    <row r="243" spans="1:49" s="73" customFormat="1" x14ac:dyDescent="0.25">
      <c r="A243" s="4"/>
      <c r="B243" s="4"/>
      <c r="C243" s="4"/>
      <c r="D243" s="4"/>
      <c r="E243" s="113"/>
      <c r="F243" s="124"/>
      <c r="G243" s="125"/>
      <c r="H243" s="304" t="s">
        <v>38</v>
      </c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  <c r="AA243" s="306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102"/>
      <c r="AO243" s="38"/>
      <c r="AP243" s="38"/>
      <c r="AQ243" s="38"/>
    </row>
    <row r="244" spans="1:49" s="73" customFormat="1" x14ac:dyDescent="0.25">
      <c r="A244" s="4"/>
      <c r="B244" s="4"/>
      <c r="C244" s="4"/>
      <c r="D244" s="4"/>
      <c r="E244" s="113"/>
      <c r="F244" s="124"/>
      <c r="G244" s="125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102"/>
      <c r="AO244" s="38"/>
      <c r="AP244" s="38"/>
      <c r="AQ244" s="38"/>
    </row>
    <row r="245" spans="1:49" s="73" customFormat="1" x14ac:dyDescent="0.25">
      <c r="A245" s="4"/>
      <c r="B245" s="4"/>
      <c r="C245" s="4"/>
      <c r="D245" s="4"/>
      <c r="E245" s="113"/>
      <c r="F245" s="124"/>
      <c r="G245" s="125"/>
      <c r="H245" s="55"/>
      <c r="I245" s="279" t="s">
        <v>39</v>
      </c>
      <c r="J245" s="280"/>
      <c r="K245" s="280"/>
      <c r="L245" s="281"/>
      <c r="M245" s="56"/>
      <c r="N245" s="279" t="s">
        <v>40</v>
      </c>
      <c r="O245" s="280"/>
      <c r="P245" s="280"/>
      <c r="Q245" s="280"/>
      <c r="R245" s="281"/>
      <c r="S245" s="300" t="s">
        <v>13</v>
      </c>
      <c r="T245" s="300"/>
      <c r="U245" s="300" t="s">
        <v>14</v>
      </c>
      <c r="V245" s="300"/>
      <c r="W245" s="300"/>
      <c r="X245" s="1"/>
      <c r="Y245" s="1"/>
      <c r="Z245" s="1"/>
      <c r="AA245" s="1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102"/>
      <c r="AO245" s="38"/>
      <c r="AP245" s="38"/>
      <c r="AQ245" s="38"/>
    </row>
    <row r="246" spans="1:49" s="73" customFormat="1" x14ac:dyDescent="0.25">
      <c r="A246" s="4"/>
      <c r="B246" s="4"/>
      <c r="C246" s="4"/>
      <c r="D246" s="4"/>
      <c r="E246" s="113"/>
      <c r="F246" s="124"/>
      <c r="G246" s="125"/>
      <c r="H246" s="46" t="s">
        <v>32</v>
      </c>
      <c r="I246" s="279" t="s">
        <v>41</v>
      </c>
      <c r="J246" s="280"/>
      <c r="K246" s="280"/>
      <c r="L246" s="281"/>
      <c r="M246" s="47" t="s">
        <v>42</v>
      </c>
      <c r="N246" s="279" t="s">
        <v>43</v>
      </c>
      <c r="O246" s="280"/>
      <c r="P246" s="280"/>
      <c r="Q246" s="280"/>
      <c r="R246" s="281"/>
      <c r="S246" s="340">
        <v>0.75</v>
      </c>
      <c r="T246" s="341"/>
      <c r="U246" s="340">
        <v>0.25</v>
      </c>
      <c r="V246" s="342"/>
      <c r="W246" s="341"/>
      <c r="X246" s="1"/>
      <c r="Y246" s="1"/>
      <c r="Z246" s="1"/>
      <c r="AA246" s="1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102"/>
      <c r="AO246" s="38"/>
      <c r="AP246" s="38"/>
      <c r="AQ246" s="38"/>
    </row>
    <row r="247" spans="1:49" s="73" customFormat="1" x14ac:dyDescent="0.25">
      <c r="A247" s="4"/>
      <c r="B247" s="4"/>
      <c r="C247" s="4"/>
      <c r="D247" s="4"/>
      <c r="E247" s="113"/>
      <c r="F247" s="124"/>
      <c r="G247" s="125"/>
      <c r="H247" s="48" t="s">
        <v>44</v>
      </c>
      <c r="I247" s="279" t="s">
        <v>45</v>
      </c>
      <c r="J247" s="280"/>
      <c r="K247" s="280"/>
      <c r="L247" s="281"/>
      <c r="M247" s="49" t="s">
        <v>46</v>
      </c>
      <c r="N247" s="279" t="s">
        <v>47</v>
      </c>
      <c r="O247" s="280"/>
      <c r="P247" s="280"/>
      <c r="Q247" s="280"/>
      <c r="R247" s="281"/>
      <c r="S247" s="276">
        <v>0.25</v>
      </c>
      <c r="T247" s="278"/>
      <c r="U247" s="276">
        <v>0.75</v>
      </c>
      <c r="V247" s="277"/>
      <c r="W247" s="278"/>
      <c r="X247" s="1"/>
      <c r="Y247" s="1"/>
      <c r="Z247" s="1"/>
      <c r="AA247" s="1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102"/>
      <c r="AO247" s="38"/>
      <c r="AP247" s="38"/>
      <c r="AQ247" s="38"/>
    </row>
    <row r="248" spans="1:49" s="73" customFormat="1" x14ac:dyDescent="0.25">
      <c r="A248" s="4"/>
      <c r="B248" s="4"/>
      <c r="C248" s="4"/>
      <c r="D248" s="4"/>
      <c r="E248" s="113"/>
      <c r="F248" s="124"/>
      <c r="G248" s="125"/>
      <c r="H248" s="1" t="s">
        <v>48</v>
      </c>
      <c r="I248" s="279" t="s">
        <v>49</v>
      </c>
      <c r="J248" s="280"/>
      <c r="K248" s="280"/>
      <c r="L248" s="281"/>
      <c r="M248" s="39" t="s">
        <v>50</v>
      </c>
      <c r="N248" s="279" t="s">
        <v>51</v>
      </c>
      <c r="O248" s="280"/>
      <c r="P248" s="280"/>
      <c r="Q248" s="280"/>
      <c r="R248" s="281"/>
      <c r="S248" s="276"/>
      <c r="T248" s="278"/>
      <c r="U248" s="276"/>
      <c r="V248" s="277"/>
      <c r="W248" s="278"/>
      <c r="X248" s="1"/>
      <c r="Y248" s="1"/>
      <c r="Z248" s="1"/>
      <c r="AA248" s="1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102"/>
      <c r="AO248" s="38"/>
      <c r="AP248" s="38"/>
      <c r="AQ248" s="38"/>
    </row>
    <row r="249" spans="1:49" s="39" customFormat="1" x14ac:dyDescent="0.25">
      <c r="A249" s="4"/>
      <c r="B249" s="4"/>
      <c r="C249" s="4"/>
      <c r="D249" s="4"/>
      <c r="E249" s="113"/>
      <c r="F249" s="122"/>
      <c r="G249" s="126"/>
      <c r="H249" s="1" t="s">
        <v>29</v>
      </c>
      <c r="I249" s="279" t="s">
        <v>52</v>
      </c>
      <c r="J249" s="280"/>
      <c r="K249" s="280"/>
      <c r="L249" s="281"/>
      <c r="M249" s="1" t="s">
        <v>53</v>
      </c>
      <c r="N249" s="279" t="s">
        <v>54</v>
      </c>
      <c r="O249" s="280"/>
      <c r="P249" s="280"/>
      <c r="Q249" s="280"/>
      <c r="R249" s="281"/>
      <c r="S249" s="376"/>
      <c r="T249" s="376"/>
      <c r="U249" s="355"/>
      <c r="V249" s="356"/>
      <c r="W249" s="357"/>
      <c r="X249" s="1"/>
      <c r="Y249" s="1"/>
      <c r="Z249" s="1"/>
      <c r="AA249" s="1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</row>
    <row r="250" spans="1:49" s="39" customFormat="1" x14ac:dyDescent="0.25">
      <c r="A250" s="4"/>
      <c r="B250" s="4"/>
      <c r="C250" s="4"/>
      <c r="D250" s="4"/>
      <c r="E250" s="113"/>
      <c r="F250" s="122"/>
      <c r="G250" s="126"/>
      <c r="H250" s="36" t="s">
        <v>28</v>
      </c>
      <c r="I250" s="331" t="s">
        <v>55</v>
      </c>
      <c r="J250" s="332"/>
      <c r="K250" s="332"/>
      <c r="L250" s="333"/>
      <c r="M250" s="36" t="s">
        <v>31</v>
      </c>
      <c r="N250" s="331" t="s">
        <v>56</v>
      </c>
      <c r="O250" s="332"/>
      <c r="P250" s="332"/>
      <c r="Q250" s="332"/>
      <c r="R250" s="333"/>
      <c r="S250" s="355"/>
      <c r="T250" s="356"/>
      <c r="U250" s="355"/>
      <c r="V250" s="356"/>
      <c r="W250" s="357"/>
      <c r="X250" s="1"/>
      <c r="Y250" s="1"/>
      <c r="Z250" s="1"/>
      <c r="AA250" s="1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</row>
    <row r="251" spans="1:49" s="39" customFormat="1" x14ac:dyDescent="0.25">
      <c r="A251" s="4"/>
      <c r="B251" s="4"/>
      <c r="C251" s="4"/>
      <c r="D251" s="4"/>
      <c r="E251" s="113"/>
      <c r="F251" s="122"/>
      <c r="G251" s="125"/>
      <c r="H251" s="36"/>
      <c r="I251" s="138"/>
      <c r="J251" s="139"/>
      <c r="K251" s="139"/>
      <c r="L251" s="140"/>
      <c r="M251" s="36"/>
      <c r="N251" s="138"/>
      <c r="O251" s="139"/>
      <c r="P251" s="139"/>
      <c r="Q251" s="139"/>
      <c r="R251" s="140"/>
      <c r="S251" s="141"/>
      <c r="T251" s="142"/>
      <c r="U251" s="141"/>
      <c r="V251" s="142"/>
      <c r="W251" s="143"/>
      <c r="X251" s="36"/>
      <c r="Y251" s="36"/>
      <c r="Z251" s="36"/>
      <c r="AA251" s="36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3"/>
      <c r="AP251" s="33"/>
      <c r="AQ251" s="33"/>
    </row>
    <row r="252" spans="1:49" s="39" customFormat="1" x14ac:dyDescent="0.25">
      <c r="A252" s="4"/>
      <c r="B252" s="4"/>
      <c r="C252" s="4"/>
      <c r="D252" s="4"/>
      <c r="E252" s="113"/>
      <c r="F252" s="122"/>
      <c r="G252" s="125"/>
      <c r="H252" s="36"/>
      <c r="I252" s="138"/>
      <c r="J252" s="139"/>
      <c r="K252" s="139"/>
      <c r="L252" s="140"/>
      <c r="M252" s="36"/>
      <c r="N252" s="138"/>
      <c r="O252" s="139"/>
      <c r="P252" s="139"/>
      <c r="Q252" s="139"/>
      <c r="R252" s="140"/>
      <c r="S252" s="141"/>
      <c r="T252" s="142"/>
      <c r="U252" s="141"/>
      <c r="V252" s="142"/>
      <c r="W252" s="143"/>
      <c r="X252" s="36"/>
      <c r="Y252" s="36"/>
      <c r="Z252" s="36"/>
      <c r="AA252" s="36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3"/>
      <c r="AP252" s="33"/>
      <c r="AQ252" s="33"/>
    </row>
    <row r="253" spans="1:49" s="39" customFormat="1" x14ac:dyDescent="0.25">
      <c r="A253" s="4"/>
      <c r="B253" s="4"/>
      <c r="C253" s="4"/>
      <c r="D253" s="4"/>
      <c r="E253" s="113"/>
      <c r="F253" s="122"/>
      <c r="G253" s="125"/>
      <c r="H253" s="36"/>
      <c r="I253" s="138"/>
      <c r="J253" s="139"/>
      <c r="K253" s="139"/>
      <c r="L253" s="140"/>
      <c r="M253" s="36"/>
      <c r="N253" s="138"/>
      <c r="O253" s="139"/>
      <c r="P253" s="139"/>
      <c r="Q253" s="139"/>
      <c r="R253" s="140"/>
      <c r="S253" s="141"/>
      <c r="T253" s="142"/>
      <c r="U253" s="141"/>
      <c r="V253" s="142"/>
      <c r="W253" s="143"/>
      <c r="X253" s="36"/>
      <c r="Y253" s="36"/>
      <c r="Z253" s="36"/>
      <c r="AA253" s="36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3"/>
      <c r="AP253" s="33"/>
      <c r="AQ253" s="33"/>
    </row>
    <row r="254" spans="1:49" s="39" customFormat="1" x14ac:dyDescent="0.25">
      <c r="A254" s="127"/>
      <c r="B254" s="127"/>
      <c r="C254" s="127"/>
      <c r="D254" s="127"/>
      <c r="E254" s="128"/>
      <c r="F254" s="122"/>
      <c r="G254" s="126"/>
      <c r="H254" s="103"/>
      <c r="I254" s="10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</row>
    <row r="255" spans="1:49" ht="15" customHeight="1" x14ac:dyDescent="0.25">
      <c r="F255" s="377" t="s">
        <v>106</v>
      </c>
      <c r="G255" s="377"/>
      <c r="H255" s="309" t="s">
        <v>1</v>
      </c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10"/>
      <c r="AG255" s="310"/>
      <c r="AH255" s="311"/>
      <c r="AI255" s="371" t="s">
        <v>2</v>
      </c>
      <c r="AJ255" s="372"/>
      <c r="AK255" s="372"/>
      <c r="AL255" s="372"/>
      <c r="AM255" s="372"/>
      <c r="AN255" s="373"/>
      <c r="AO255" s="3"/>
      <c r="AP255" s="3"/>
      <c r="AQ255" s="3"/>
      <c r="AR255" s="4"/>
      <c r="AS255" s="4"/>
      <c r="AT255" s="4"/>
      <c r="AU255" s="4"/>
      <c r="AV255" s="4"/>
      <c r="AW255" s="4"/>
    </row>
    <row r="256" spans="1:49" ht="14.25" customHeight="1" x14ac:dyDescent="0.25">
      <c r="F256" s="377"/>
      <c r="G256" s="377"/>
      <c r="H256" s="312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  <c r="T256" s="313"/>
      <c r="U256" s="313"/>
      <c r="V256" s="313"/>
      <c r="W256" s="313"/>
      <c r="X256" s="313"/>
      <c r="Y256" s="313"/>
      <c r="Z256" s="313"/>
      <c r="AA256" s="313"/>
      <c r="AB256" s="313"/>
      <c r="AC256" s="313"/>
      <c r="AD256" s="313"/>
      <c r="AE256" s="313"/>
      <c r="AF256" s="313"/>
      <c r="AG256" s="313"/>
      <c r="AH256" s="314"/>
      <c r="AI256" s="361"/>
      <c r="AJ256" s="362"/>
      <c r="AK256" s="362"/>
      <c r="AL256" s="362"/>
      <c r="AM256" s="362"/>
      <c r="AN256" s="363"/>
      <c r="AO256" s="3"/>
      <c r="AP256" s="3"/>
      <c r="AQ256" s="3"/>
      <c r="AR256" s="4"/>
      <c r="AS256" s="4"/>
      <c r="AT256" s="4"/>
      <c r="AU256" s="4"/>
      <c r="AV256" s="4"/>
      <c r="AW256" s="4"/>
    </row>
    <row r="257" spans="1:49" ht="15" customHeight="1" x14ac:dyDescent="0.25">
      <c r="F257" s="377"/>
      <c r="G257" s="377"/>
      <c r="H257" s="307" t="s">
        <v>3</v>
      </c>
      <c r="I257" s="290"/>
      <c r="J257" s="290"/>
      <c r="K257" s="291" t="s">
        <v>4</v>
      </c>
      <c r="L257" s="291"/>
      <c r="M257" s="291"/>
      <c r="N257" s="291"/>
      <c r="O257" s="291"/>
      <c r="P257" s="291"/>
      <c r="Q257" s="291"/>
      <c r="R257" s="291"/>
      <c r="S257" s="291"/>
      <c r="T257" s="291"/>
      <c r="U257" s="291"/>
      <c r="V257" s="291"/>
      <c r="W257" s="291"/>
      <c r="X257" s="291"/>
      <c r="Y257" s="291"/>
      <c r="Z257" s="291"/>
      <c r="AA257" s="291"/>
      <c r="AB257" s="291"/>
      <c r="AC257" s="291"/>
      <c r="AD257" s="291"/>
      <c r="AE257" s="291"/>
      <c r="AF257" s="291"/>
      <c r="AG257" s="291"/>
      <c r="AH257" s="292"/>
      <c r="AI257" s="289" t="s">
        <v>5</v>
      </c>
      <c r="AJ257" s="289"/>
      <c r="AK257" s="289"/>
      <c r="AL257" s="289"/>
      <c r="AM257" s="289"/>
      <c r="AN257" s="289"/>
      <c r="AO257" s="3"/>
      <c r="AP257" s="3"/>
      <c r="AQ257" s="3"/>
      <c r="AR257" s="4"/>
      <c r="AS257" s="4"/>
      <c r="AT257" s="4"/>
      <c r="AU257" s="4"/>
      <c r="AV257" s="4"/>
      <c r="AW257" s="4"/>
    </row>
    <row r="258" spans="1:49" ht="15" customHeight="1" x14ac:dyDescent="0.25">
      <c r="F258" s="377" t="s">
        <v>63</v>
      </c>
      <c r="G258" s="377"/>
      <c r="H258" s="5" t="s">
        <v>6</v>
      </c>
      <c r="I258" s="6"/>
      <c r="J258" s="6"/>
      <c r="K258" s="291" t="s">
        <v>7</v>
      </c>
      <c r="L258" s="291"/>
      <c r="M258" s="291"/>
      <c r="N258" s="291"/>
      <c r="O258" s="291"/>
      <c r="P258" s="291"/>
      <c r="Q258" s="291"/>
      <c r="R258" s="291"/>
      <c r="S258" s="291"/>
      <c r="T258" s="291"/>
      <c r="U258" s="291"/>
      <c r="V258" s="291"/>
      <c r="W258" s="291"/>
      <c r="X258" s="291"/>
      <c r="Y258" s="291"/>
      <c r="Z258" s="291"/>
      <c r="AA258" s="291"/>
      <c r="AB258" s="291"/>
      <c r="AC258" s="291"/>
      <c r="AD258" s="291"/>
      <c r="AE258" s="291"/>
      <c r="AF258" s="291"/>
      <c r="AG258" s="291"/>
      <c r="AH258" s="292"/>
      <c r="AI258" s="289"/>
      <c r="AJ258" s="289"/>
      <c r="AK258" s="289"/>
      <c r="AL258" s="289"/>
      <c r="AM258" s="289"/>
      <c r="AN258" s="289"/>
      <c r="AO258" s="3"/>
      <c r="AP258" s="3"/>
      <c r="AQ258" s="3"/>
      <c r="AR258" s="4"/>
      <c r="AS258" s="4"/>
      <c r="AT258" s="4"/>
      <c r="AU258" s="4"/>
      <c r="AV258" s="4"/>
      <c r="AW258" s="4"/>
    </row>
    <row r="259" spans="1:49" ht="15" customHeight="1" x14ac:dyDescent="0.25">
      <c r="F259" s="377"/>
      <c r="G259" s="377"/>
      <c r="H259" s="307" t="s">
        <v>8</v>
      </c>
      <c r="I259" s="290"/>
      <c r="J259" s="290"/>
      <c r="K259" s="291" t="s">
        <v>9</v>
      </c>
      <c r="L259" s="291"/>
      <c r="M259" s="291"/>
      <c r="N259" s="291"/>
      <c r="O259" s="291"/>
      <c r="P259" s="291"/>
      <c r="Q259" s="291"/>
      <c r="R259" s="291"/>
      <c r="S259" s="291"/>
      <c r="T259" s="291"/>
      <c r="U259" s="291"/>
      <c r="V259" s="291"/>
      <c r="W259" s="291"/>
      <c r="X259" s="291"/>
      <c r="Y259" s="291"/>
      <c r="Z259" s="291"/>
      <c r="AA259" s="291"/>
      <c r="AB259" s="291"/>
      <c r="AC259" s="291"/>
      <c r="AD259" s="291"/>
      <c r="AE259" s="291"/>
      <c r="AF259" s="291"/>
      <c r="AG259" s="291"/>
      <c r="AH259" s="292"/>
      <c r="AI259" s="289" t="s">
        <v>10</v>
      </c>
      <c r="AJ259" s="289"/>
      <c r="AK259" s="289"/>
      <c r="AL259" s="289"/>
      <c r="AM259" s="289"/>
      <c r="AN259" s="289"/>
      <c r="AO259" s="3"/>
      <c r="AP259" s="3"/>
      <c r="AQ259" s="3"/>
      <c r="AR259" s="4"/>
      <c r="AS259" s="4"/>
      <c r="AT259" s="4"/>
      <c r="AU259" s="4"/>
      <c r="AV259" s="4"/>
      <c r="AW259" s="4"/>
    </row>
    <row r="260" spans="1:49" ht="15" customHeight="1" x14ac:dyDescent="0.25">
      <c r="F260" s="377"/>
      <c r="G260" s="377"/>
      <c r="H260" s="308" t="s">
        <v>11</v>
      </c>
      <c r="I260" s="293"/>
      <c r="J260" s="293"/>
      <c r="K260" s="294" t="s">
        <v>12</v>
      </c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5"/>
      <c r="AI260" s="289"/>
      <c r="AJ260" s="289"/>
      <c r="AK260" s="289"/>
      <c r="AL260" s="289"/>
      <c r="AM260" s="289"/>
      <c r="AN260" s="289"/>
      <c r="AO260" s="2"/>
      <c r="AP260" s="2"/>
      <c r="AQ260" s="2"/>
      <c r="AR260" s="300" t="s">
        <v>13</v>
      </c>
      <c r="AS260" s="300"/>
      <c r="AT260" s="300" t="s">
        <v>14</v>
      </c>
      <c r="AU260" s="300"/>
      <c r="AV260" s="300"/>
      <c r="AW260" s="4"/>
    </row>
    <row r="261" spans="1:49" ht="21.75" customHeight="1" x14ac:dyDescent="0.25">
      <c r="A261" s="118" t="s">
        <v>15</v>
      </c>
      <c r="B261" s="119" t="s">
        <v>16</v>
      </c>
      <c r="C261" s="9" t="s">
        <v>17</v>
      </c>
      <c r="D261" s="9" t="s">
        <v>18</v>
      </c>
      <c r="E261" s="9" t="s">
        <v>19</v>
      </c>
      <c r="F261" s="10" t="s">
        <v>20</v>
      </c>
      <c r="G261" s="7" t="s">
        <v>21</v>
      </c>
      <c r="H261" s="7" t="s">
        <v>22</v>
      </c>
      <c r="I261" s="7" t="s">
        <v>23</v>
      </c>
      <c r="J261" s="247" t="s">
        <v>132</v>
      </c>
      <c r="K261" s="247" t="s">
        <v>133</v>
      </c>
      <c r="L261" s="247" t="s">
        <v>134</v>
      </c>
      <c r="M261" s="247" t="s">
        <v>135</v>
      </c>
      <c r="N261" s="247" t="s">
        <v>136</v>
      </c>
      <c r="O261" s="247" t="s">
        <v>137</v>
      </c>
      <c r="P261" s="155" t="s">
        <v>138</v>
      </c>
      <c r="Q261" s="155" t="s">
        <v>139</v>
      </c>
      <c r="R261" s="247" t="s">
        <v>140</v>
      </c>
      <c r="S261" s="247" t="s">
        <v>141</v>
      </c>
      <c r="T261" s="247" t="s">
        <v>142</v>
      </c>
      <c r="U261" s="247" t="s">
        <v>143</v>
      </c>
      <c r="V261" s="247" t="s">
        <v>144</v>
      </c>
      <c r="W261" s="155" t="s">
        <v>145</v>
      </c>
      <c r="X261" s="155" t="s">
        <v>146</v>
      </c>
      <c r="Y261" s="247" t="s">
        <v>147</v>
      </c>
      <c r="Z261" s="247" t="s">
        <v>148</v>
      </c>
      <c r="AA261" s="247" t="s">
        <v>149</v>
      </c>
      <c r="AB261" s="247" t="s">
        <v>150</v>
      </c>
      <c r="AC261" s="247" t="s">
        <v>151</v>
      </c>
      <c r="AD261" s="155" t="s">
        <v>152</v>
      </c>
      <c r="AE261" s="247" t="s">
        <v>153</v>
      </c>
      <c r="AF261" s="247" t="s">
        <v>154</v>
      </c>
      <c r="AG261" s="247" t="s">
        <v>155</v>
      </c>
      <c r="AH261" s="248" t="s">
        <v>156</v>
      </c>
      <c r="AI261" s="247" t="s">
        <v>157</v>
      </c>
      <c r="AJ261" s="247" t="s">
        <v>158</v>
      </c>
      <c r="AK261" s="155" t="s">
        <v>159</v>
      </c>
      <c r="AL261" s="155" t="s">
        <v>160</v>
      </c>
      <c r="AM261" s="247" t="s">
        <v>161</v>
      </c>
      <c r="AN261" s="249" t="s">
        <v>162</v>
      </c>
      <c r="AO261" s="11" t="s">
        <v>24</v>
      </c>
      <c r="AP261" s="11" t="s">
        <v>25</v>
      </c>
      <c r="AQ261" s="11" t="s">
        <v>26</v>
      </c>
      <c r="AR261" s="12">
        <v>0.75</v>
      </c>
      <c r="AS261" s="129"/>
      <c r="AT261" s="12">
        <v>0.25</v>
      </c>
      <c r="AU261" s="130"/>
      <c r="AV261" s="129"/>
      <c r="AW261" s="9"/>
    </row>
    <row r="262" spans="1:49" ht="26.25" customHeight="1" x14ac:dyDescent="0.25">
      <c r="F262" s="24">
        <v>26988317</v>
      </c>
      <c r="G262" s="131" t="s">
        <v>107</v>
      </c>
      <c r="H262" s="15">
        <v>2026</v>
      </c>
      <c r="I262" s="15" t="s">
        <v>163</v>
      </c>
      <c r="J262" s="161"/>
      <c r="K262" s="165"/>
      <c r="L262" s="160" t="s">
        <v>28</v>
      </c>
      <c r="M262" s="160" t="s">
        <v>28</v>
      </c>
      <c r="N262" s="160" t="s">
        <v>28</v>
      </c>
      <c r="O262" s="160" t="s">
        <v>28</v>
      </c>
      <c r="P262" s="160" t="s">
        <v>28</v>
      </c>
      <c r="Q262" s="160" t="s">
        <v>28</v>
      </c>
      <c r="R262" s="160" t="s">
        <v>28</v>
      </c>
      <c r="S262" s="160" t="s">
        <v>28</v>
      </c>
      <c r="T262" s="160" t="s">
        <v>28</v>
      </c>
      <c r="U262" s="160" t="s">
        <v>28</v>
      </c>
      <c r="V262" s="160" t="s">
        <v>28</v>
      </c>
      <c r="W262" s="160" t="s">
        <v>28</v>
      </c>
      <c r="X262" s="161"/>
      <c r="Y262" s="161"/>
      <c r="Z262" s="162"/>
      <c r="AA262" s="160" t="s">
        <v>28</v>
      </c>
      <c r="AB262" s="160" t="s">
        <v>28</v>
      </c>
      <c r="AC262" s="160" t="s">
        <v>28</v>
      </c>
      <c r="AD262" s="160" t="s">
        <v>28</v>
      </c>
      <c r="AE262" s="160" t="s">
        <v>28</v>
      </c>
      <c r="AF262" s="160" t="s">
        <v>28</v>
      </c>
      <c r="AG262" s="160" t="s">
        <v>28</v>
      </c>
      <c r="AH262" s="160" t="s">
        <v>28</v>
      </c>
      <c r="AI262" s="160" t="s">
        <v>28</v>
      </c>
      <c r="AJ262" s="160" t="s">
        <v>28</v>
      </c>
      <c r="AK262" s="160" t="s">
        <v>28</v>
      </c>
      <c r="AL262" s="160" t="s">
        <v>28</v>
      </c>
      <c r="AM262" s="161"/>
      <c r="AN262" s="163"/>
      <c r="AO262" s="16">
        <f>COUNTIF(Tabla1327[[#This Row],[1L]:[Columna1]],"D12")</f>
        <v>24</v>
      </c>
      <c r="AP262" s="17">
        <f>COUNTIF(Tabla1327[[#This Row],[1L]:[Columna1]],"N12")</f>
        <v>0</v>
      </c>
      <c r="AQ262" s="18">
        <f>COUNTBLANK(Tabla1327[[#This Row],[1L]:[Columna1]])</f>
        <v>7</v>
      </c>
      <c r="AR262" s="276">
        <v>0.25</v>
      </c>
      <c r="AS262" s="278"/>
      <c r="AT262" s="276">
        <v>0.75</v>
      </c>
      <c r="AU262" s="277"/>
      <c r="AV262" s="278"/>
      <c r="AW262" s="4"/>
    </row>
    <row r="263" spans="1:49" ht="26.25" customHeight="1" x14ac:dyDescent="0.25">
      <c r="F263" s="88"/>
      <c r="G263" s="256"/>
      <c r="H263" s="15"/>
      <c r="I263" s="15"/>
      <c r="J263" s="253"/>
      <c r="K263" s="254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3"/>
      <c r="Y263" s="253"/>
      <c r="Z263" s="254"/>
      <c r="AA263" s="255"/>
      <c r="AB263" s="255"/>
      <c r="AC263" s="255"/>
      <c r="AD263" s="255"/>
      <c r="AE263" s="255"/>
      <c r="AF263" s="255"/>
      <c r="AG263" s="255"/>
      <c r="AH263" s="255"/>
      <c r="AI263" s="255"/>
      <c r="AJ263" s="255"/>
      <c r="AK263" s="255"/>
      <c r="AL263" s="255"/>
      <c r="AM263" s="253"/>
      <c r="AN263" s="101"/>
      <c r="AO263" s="149">
        <f>COUNTIF(Tabla1327[[#This Row],[1L]:[Columna1]],"D12")</f>
        <v>0</v>
      </c>
      <c r="AP263" s="17">
        <f>COUNTIF(Tabla1327[[#This Row],[1L]:[Columna1]],"N12")</f>
        <v>0</v>
      </c>
      <c r="AQ263" s="18">
        <f>COUNTBLANK(Tabla1327[[#This Row],[1L]:[Columna1]])</f>
        <v>31</v>
      </c>
      <c r="AR263" s="19"/>
      <c r="AS263" s="22"/>
      <c r="AT263" s="19"/>
      <c r="AU263" s="23"/>
      <c r="AV263" s="22"/>
      <c r="AW263" s="4"/>
    </row>
    <row r="264" spans="1:49" ht="26.25" customHeight="1" x14ac:dyDescent="0.25">
      <c r="F264" s="88"/>
      <c r="G264" s="256"/>
      <c r="H264" s="15"/>
      <c r="I264" s="15"/>
      <c r="J264" s="253"/>
      <c r="K264" s="254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3"/>
      <c r="Y264" s="253"/>
      <c r="Z264" s="254"/>
      <c r="AA264" s="255"/>
      <c r="AB264" s="255"/>
      <c r="AC264" s="255"/>
      <c r="AD264" s="255"/>
      <c r="AE264" s="255"/>
      <c r="AF264" s="255"/>
      <c r="AG264" s="255"/>
      <c r="AH264" s="255"/>
      <c r="AI264" s="255"/>
      <c r="AJ264" s="255"/>
      <c r="AK264" s="255"/>
      <c r="AL264" s="255"/>
      <c r="AM264" s="253"/>
      <c r="AN264" s="101"/>
      <c r="AO264" s="149">
        <f>COUNTIF(Tabla1327[[#This Row],[1L]:[Columna1]],"D12")</f>
        <v>0</v>
      </c>
      <c r="AP264" s="17">
        <f>COUNTIF(Tabla1327[[#This Row],[1L]:[Columna1]],"N12")</f>
        <v>0</v>
      </c>
      <c r="AQ264" s="18">
        <f>COUNTBLANK(Tabla1327[[#This Row],[1L]:[Columna1]])</f>
        <v>31</v>
      </c>
      <c r="AR264" s="19"/>
      <c r="AS264" s="22"/>
      <c r="AT264" s="19"/>
      <c r="AU264" s="23"/>
      <c r="AV264" s="22"/>
      <c r="AW264" s="4"/>
    </row>
    <row r="265" spans="1:49" x14ac:dyDescent="0.25">
      <c r="F265" s="144">
        <v>71681831</v>
      </c>
      <c r="G265" s="50" t="s">
        <v>115</v>
      </c>
      <c r="H265" s="15">
        <v>2026</v>
      </c>
      <c r="I265" s="15" t="s">
        <v>163</v>
      </c>
      <c r="J265" s="95" t="s">
        <v>29</v>
      </c>
      <c r="K265" s="95" t="s">
        <v>29</v>
      </c>
      <c r="L265" s="95" t="s">
        <v>29</v>
      </c>
      <c r="M265" s="95" t="s">
        <v>29</v>
      </c>
      <c r="N265" s="95" t="s">
        <v>29</v>
      </c>
      <c r="O265" s="164"/>
      <c r="P265" s="164"/>
      <c r="Q265" s="165"/>
      <c r="R265" s="95" t="s">
        <v>29</v>
      </c>
      <c r="S265" s="95" t="s">
        <v>29</v>
      </c>
      <c r="T265" s="167" t="s">
        <v>29</v>
      </c>
      <c r="U265" s="167" t="s">
        <v>29</v>
      </c>
      <c r="V265" s="167" t="s">
        <v>29</v>
      </c>
      <c r="W265" s="167" t="s">
        <v>29</v>
      </c>
      <c r="X265" s="166" t="s">
        <v>29</v>
      </c>
      <c r="Y265" s="166" t="s">
        <v>29</v>
      </c>
      <c r="Z265" s="167" t="s">
        <v>29</v>
      </c>
      <c r="AA265" s="167" t="s">
        <v>29</v>
      </c>
      <c r="AB265" s="166" t="s">
        <v>29</v>
      </c>
      <c r="AC265" s="166" t="s">
        <v>29</v>
      </c>
      <c r="AD265" s="164"/>
      <c r="AE265" s="164"/>
      <c r="AF265" s="165"/>
      <c r="AG265" s="167" t="s">
        <v>29</v>
      </c>
      <c r="AH265" s="167" t="s">
        <v>29</v>
      </c>
      <c r="AI265" s="167" t="s">
        <v>29</v>
      </c>
      <c r="AJ265" s="167" t="s">
        <v>29</v>
      </c>
      <c r="AK265" s="95" t="s">
        <v>29</v>
      </c>
      <c r="AL265" s="167" t="s">
        <v>29</v>
      </c>
      <c r="AM265" s="166" t="s">
        <v>29</v>
      </c>
      <c r="AN265" s="166"/>
      <c r="AO265" s="17">
        <f>COUNTIF(Tabla1327[[#This Row],[1L]:[Columna1]],"D12")</f>
        <v>0</v>
      </c>
      <c r="AP265" s="17">
        <f>COUNTIF(Tabla1327[[#This Row],[1L]:[Columna1]],"N12")</f>
        <v>24</v>
      </c>
      <c r="AQ265" s="18">
        <f>COUNTBLANK(Tabla1327[[#This Row],[1L]:[Columna1]])</f>
        <v>7</v>
      </c>
      <c r="AR265" s="19"/>
      <c r="AS265" s="22"/>
      <c r="AT265" s="19"/>
      <c r="AU265" s="23"/>
      <c r="AV265" s="22"/>
      <c r="AW265" s="4"/>
    </row>
    <row r="266" spans="1:49" x14ac:dyDescent="0.25">
      <c r="F266" s="246"/>
      <c r="G266" s="50"/>
      <c r="H266" s="15">
        <v>2026</v>
      </c>
      <c r="I266" s="15" t="s">
        <v>163</v>
      </c>
      <c r="J266" s="242" t="s">
        <v>32</v>
      </c>
      <c r="K266" s="242" t="s">
        <v>32</v>
      </c>
      <c r="L266" s="242" t="s">
        <v>32</v>
      </c>
      <c r="M266" s="166" t="s">
        <v>29</v>
      </c>
      <c r="N266" s="166" t="s">
        <v>29</v>
      </c>
      <c r="O266" s="164"/>
      <c r="P266" s="164"/>
      <c r="Q266" s="165"/>
      <c r="R266" s="166" t="s">
        <v>29</v>
      </c>
      <c r="S266" s="166" t="s">
        <v>29</v>
      </c>
      <c r="T266" s="167" t="s">
        <v>29</v>
      </c>
      <c r="U266" s="167" t="s">
        <v>29</v>
      </c>
      <c r="V266" s="167" t="s">
        <v>29</v>
      </c>
      <c r="W266" s="167" t="s">
        <v>29</v>
      </c>
      <c r="X266" s="166" t="s">
        <v>29</v>
      </c>
      <c r="Y266" s="166" t="s">
        <v>29</v>
      </c>
      <c r="Z266" s="167" t="s">
        <v>29</v>
      </c>
      <c r="AA266" s="167" t="s">
        <v>29</v>
      </c>
      <c r="AB266" s="166" t="s">
        <v>29</v>
      </c>
      <c r="AC266" s="166" t="s">
        <v>29</v>
      </c>
      <c r="AD266" s="164"/>
      <c r="AE266" s="164"/>
      <c r="AF266" s="165"/>
      <c r="AG266" s="167" t="s">
        <v>29</v>
      </c>
      <c r="AH266" s="167" t="s">
        <v>29</v>
      </c>
      <c r="AI266" s="167" t="s">
        <v>29</v>
      </c>
      <c r="AJ266" s="167" t="s">
        <v>29</v>
      </c>
      <c r="AK266" s="95" t="s">
        <v>29</v>
      </c>
      <c r="AL266" s="167" t="s">
        <v>29</v>
      </c>
      <c r="AM266" s="166" t="s">
        <v>29</v>
      </c>
      <c r="AN266" s="250"/>
      <c r="AO266" s="149">
        <f>COUNTIF(Tabla1327[[#This Row],[1L]:[Columna1]],"D12")</f>
        <v>0</v>
      </c>
      <c r="AP266" s="17">
        <f>COUNTIF(Tabla1327[[#This Row],[1L]:[Columna1]],"N12")</f>
        <v>21</v>
      </c>
      <c r="AQ266" s="18">
        <f>COUNTBLANK(Tabla1327[[#This Row],[1L]:[Columna1]])</f>
        <v>7</v>
      </c>
      <c r="AR266" s="19"/>
      <c r="AS266" s="22"/>
      <c r="AT266" s="19"/>
      <c r="AU266" s="23"/>
      <c r="AV266" s="22"/>
      <c r="AW266" s="4"/>
    </row>
    <row r="267" spans="1:49" x14ac:dyDescent="0.25">
      <c r="F267" s="126">
        <v>1033374378</v>
      </c>
      <c r="G267" s="212" t="s">
        <v>89</v>
      </c>
      <c r="H267" s="15">
        <v>2026</v>
      </c>
      <c r="I267" s="15" t="s">
        <v>163</v>
      </c>
      <c r="J267" s="95" t="s">
        <v>29</v>
      </c>
      <c r="K267" s="95" t="s">
        <v>29</v>
      </c>
      <c r="L267" s="95" t="s">
        <v>29</v>
      </c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87"/>
      <c r="Y267" s="126"/>
      <c r="Z267" s="12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49">
        <f>COUNTIF(Tabla1327[[#This Row],[1L]:[Columna1]],"D12")</f>
        <v>0</v>
      </c>
      <c r="AP267" s="17">
        <f>COUNTIF(Tabla1327[[#This Row],[1L]:[Columna1]],"N12")</f>
        <v>3</v>
      </c>
      <c r="AQ267" s="18">
        <f>COUNTBLANK(Tabla1327[[#This Row],[1L]:[Columna1]])</f>
        <v>28</v>
      </c>
      <c r="AR267" s="19"/>
      <c r="AS267" s="22"/>
      <c r="AT267" s="19"/>
      <c r="AU267" s="23"/>
      <c r="AV267" s="22"/>
      <c r="AW267" s="4"/>
    </row>
    <row r="268" spans="1:49" x14ac:dyDescent="0.25">
      <c r="F268" s="205">
        <v>1033371864</v>
      </c>
      <c r="G268" s="204" t="s">
        <v>34</v>
      </c>
      <c r="H268" s="15">
        <v>2026</v>
      </c>
      <c r="I268" s="15" t="s">
        <v>163</v>
      </c>
      <c r="J268" s="167" t="s">
        <v>29</v>
      </c>
      <c r="K268" s="167" t="s">
        <v>29</v>
      </c>
      <c r="L268" s="164"/>
      <c r="M268" s="164"/>
      <c r="N268" s="165"/>
      <c r="O268" s="167" t="s">
        <v>28</v>
      </c>
      <c r="P268" s="167" t="s">
        <v>28</v>
      </c>
      <c r="Q268" s="167" t="s">
        <v>28</v>
      </c>
      <c r="R268" s="167" t="s">
        <v>28</v>
      </c>
      <c r="S268" s="167" t="s">
        <v>28</v>
      </c>
      <c r="T268" s="167" t="s">
        <v>28</v>
      </c>
      <c r="U268" s="166" t="s">
        <v>29</v>
      </c>
      <c r="V268" s="166" t="s">
        <v>29</v>
      </c>
      <c r="W268" s="166" t="s">
        <v>29</v>
      </c>
      <c r="X268" s="166" t="s">
        <v>29</v>
      </c>
      <c r="Y268" s="166" t="s">
        <v>29</v>
      </c>
      <c r="Z268" s="166" t="s">
        <v>29</v>
      </c>
      <c r="AA268" s="164"/>
      <c r="AB268" s="164"/>
      <c r="AC268" s="165"/>
      <c r="AD268" s="167" t="s">
        <v>28</v>
      </c>
      <c r="AE268" s="167" t="s">
        <v>28</v>
      </c>
      <c r="AF268" s="167" t="s">
        <v>28</v>
      </c>
      <c r="AG268" s="167" t="s">
        <v>28</v>
      </c>
      <c r="AH268" s="167" t="s">
        <v>28</v>
      </c>
      <c r="AI268" s="167" t="s">
        <v>28</v>
      </c>
      <c r="AJ268" s="167" t="s">
        <v>29</v>
      </c>
      <c r="AK268" s="167" t="s">
        <v>29</v>
      </c>
      <c r="AL268" s="166" t="s">
        <v>29</v>
      </c>
      <c r="AM268" s="166" t="s">
        <v>29</v>
      </c>
      <c r="AN268" s="166"/>
      <c r="AO268" s="17">
        <f>COUNTIF(Tabla1327[[#This Row],[1L]:[Columna1]],"D12")</f>
        <v>12</v>
      </c>
      <c r="AP268" s="17">
        <f>COUNTIF(Tabla1327[[#This Row],[1L]:[Columna1]],"N12")</f>
        <v>12</v>
      </c>
      <c r="AQ268" s="18">
        <f>COUNTBLANK(Tabla1327[[#This Row],[1L]:[Columna1]])</f>
        <v>7</v>
      </c>
      <c r="AR268" s="19"/>
      <c r="AS268" s="22"/>
      <c r="AT268" s="19"/>
      <c r="AU268" s="23"/>
      <c r="AV268" s="22"/>
      <c r="AW268" s="4"/>
    </row>
    <row r="269" spans="1:49" x14ac:dyDescent="0.25">
      <c r="F269" s="50">
        <v>1035225845</v>
      </c>
      <c r="G269" s="14" t="s">
        <v>99</v>
      </c>
      <c r="H269" s="15">
        <v>2026</v>
      </c>
      <c r="I269" s="15" t="s">
        <v>163</v>
      </c>
      <c r="J269" s="166" t="s">
        <v>28</v>
      </c>
      <c r="K269" s="166" t="s">
        <v>28</v>
      </c>
      <c r="L269" s="166" t="s">
        <v>28</v>
      </c>
      <c r="M269" s="166" t="s">
        <v>28</v>
      </c>
      <c r="N269" s="166" t="s">
        <v>28</v>
      </c>
      <c r="O269" s="166" t="s">
        <v>29</v>
      </c>
      <c r="P269" s="166" t="s">
        <v>29</v>
      </c>
      <c r="Q269" s="166" t="s">
        <v>29</v>
      </c>
      <c r="R269" s="166" t="s">
        <v>29</v>
      </c>
      <c r="S269" s="166" t="s">
        <v>29</v>
      </c>
      <c r="T269" s="166" t="s">
        <v>29</v>
      </c>
      <c r="U269" s="164"/>
      <c r="V269" s="164"/>
      <c r="W269" s="165"/>
      <c r="X269" s="166" t="s">
        <v>28</v>
      </c>
      <c r="Y269" s="166" t="s">
        <v>28</v>
      </c>
      <c r="Z269" s="166" t="s">
        <v>28</v>
      </c>
      <c r="AA269" s="166" t="s">
        <v>28</v>
      </c>
      <c r="AB269" s="166" t="s">
        <v>28</v>
      </c>
      <c r="AC269" s="166" t="s">
        <v>28</v>
      </c>
      <c r="AD269" s="166" t="s">
        <v>29</v>
      </c>
      <c r="AE269" s="166" t="s">
        <v>29</v>
      </c>
      <c r="AF269" s="166" t="s">
        <v>29</v>
      </c>
      <c r="AG269" s="166" t="s">
        <v>29</v>
      </c>
      <c r="AH269" s="166" t="s">
        <v>29</v>
      </c>
      <c r="AI269" s="166" t="s">
        <v>29</v>
      </c>
      <c r="AJ269" s="164"/>
      <c r="AK269" s="164"/>
      <c r="AL269" s="165"/>
      <c r="AM269" s="166" t="s">
        <v>28</v>
      </c>
      <c r="AN269" s="166"/>
      <c r="AO269" s="17">
        <f>COUNTIF(Tabla1327[[#This Row],[1L]:[Columna1]],"D12")</f>
        <v>12</v>
      </c>
      <c r="AP269" s="17">
        <f>COUNTIF(Tabla1327[[#This Row],[1L]:[Columna1]],"N12")</f>
        <v>12</v>
      </c>
      <c r="AQ269" s="18">
        <f>COUNTBLANK(Tabla1327[[#This Row],[1L]:[Columna1]])</f>
        <v>7</v>
      </c>
      <c r="AR269" s="276"/>
      <c r="AS269" s="278"/>
      <c r="AT269" s="276"/>
      <c r="AU269" s="277"/>
      <c r="AV269" s="278"/>
      <c r="AW269" s="4"/>
    </row>
    <row r="270" spans="1:49" ht="19.5" customHeight="1" x14ac:dyDescent="0.25">
      <c r="F270" s="98">
        <v>9761716</v>
      </c>
      <c r="G270" s="25" t="s">
        <v>108</v>
      </c>
      <c r="H270" s="15">
        <v>2026</v>
      </c>
      <c r="I270" s="15" t="s">
        <v>163</v>
      </c>
      <c r="J270" s="167" t="s">
        <v>28</v>
      </c>
      <c r="K270" s="167" t="s">
        <v>28</v>
      </c>
      <c r="L270" s="167" t="s">
        <v>29</v>
      </c>
      <c r="M270" s="166" t="s">
        <v>29</v>
      </c>
      <c r="N270" s="167" t="s">
        <v>29</v>
      </c>
      <c r="O270" s="167" t="s">
        <v>29</v>
      </c>
      <c r="P270" s="167" t="s">
        <v>29</v>
      </c>
      <c r="Q270" s="167" t="s">
        <v>29</v>
      </c>
      <c r="R270" s="164"/>
      <c r="S270" s="164"/>
      <c r="T270" s="165"/>
      <c r="U270" s="167" t="s">
        <v>28</v>
      </c>
      <c r="V270" s="167" t="s">
        <v>28</v>
      </c>
      <c r="W270" s="167" t="s">
        <v>28</v>
      </c>
      <c r="X270" s="167" t="s">
        <v>28</v>
      </c>
      <c r="Y270" s="167" t="s">
        <v>28</v>
      </c>
      <c r="Z270" s="167" t="s">
        <v>28</v>
      </c>
      <c r="AA270" s="166" t="s">
        <v>29</v>
      </c>
      <c r="AB270" s="166" t="s">
        <v>29</v>
      </c>
      <c r="AC270" s="166" t="s">
        <v>29</v>
      </c>
      <c r="AD270" s="166" t="s">
        <v>29</v>
      </c>
      <c r="AE270" s="166" t="s">
        <v>29</v>
      </c>
      <c r="AF270" s="166" t="s">
        <v>29</v>
      </c>
      <c r="AG270" s="164"/>
      <c r="AH270" s="164"/>
      <c r="AI270" s="165"/>
      <c r="AJ270" s="167" t="s">
        <v>28</v>
      </c>
      <c r="AK270" s="167" t="s">
        <v>28</v>
      </c>
      <c r="AL270" s="167" t="s">
        <v>28</v>
      </c>
      <c r="AM270" s="167" t="s">
        <v>28</v>
      </c>
      <c r="AN270" s="167"/>
      <c r="AO270" s="17">
        <f>COUNTIF(Tabla1327[[#This Row],[1L]:[Columna1]],"D12")</f>
        <v>12</v>
      </c>
      <c r="AP270" s="17">
        <f>COUNTIF(Tabla1327[[#This Row],[1L]:[Columna1]],"N12")</f>
        <v>12</v>
      </c>
      <c r="AQ270" s="27">
        <f>COUNTBLANK(Tabla1327[[#This Row],[1L]:[Columna1]])</f>
        <v>7</v>
      </c>
      <c r="AR270" s="376"/>
      <c r="AS270" s="376"/>
      <c r="AT270" s="355"/>
      <c r="AU270" s="356"/>
      <c r="AV270" s="357"/>
      <c r="AW270" s="4"/>
    </row>
    <row r="271" spans="1:49" ht="19.5" customHeight="1" x14ac:dyDescent="0.25">
      <c r="F271" s="88"/>
      <c r="G271" s="98"/>
      <c r="H271" s="15">
        <v>2026</v>
      </c>
      <c r="I271" s="15" t="s">
        <v>163</v>
      </c>
      <c r="J271" s="167"/>
      <c r="K271" s="167"/>
      <c r="L271" s="167"/>
      <c r="M271" s="167"/>
      <c r="N271" s="167"/>
      <c r="O271" s="167"/>
      <c r="P271" s="167"/>
      <c r="Q271" s="167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/>
      <c r="AL271" s="167"/>
      <c r="AM271" s="167"/>
      <c r="AN271" s="194"/>
      <c r="AO271" s="149">
        <f>COUNTIF(Tabla1327[[#This Row],[1L]:[Columna1]],"D12")</f>
        <v>0</v>
      </c>
      <c r="AP271" s="17">
        <f>COUNTIF(Tabla1327[[#This Row],[1L]:[Columna1]],"N12")</f>
        <v>0</v>
      </c>
      <c r="AQ271" s="27">
        <f>COUNTBLANK(Tabla1327[[#This Row],[1L]:[Columna1]])</f>
        <v>31</v>
      </c>
      <c r="AR271" s="181"/>
      <c r="AS271" s="182"/>
      <c r="AT271" s="181"/>
      <c r="AU271" s="182"/>
      <c r="AV271" s="183"/>
      <c r="AW271" s="4"/>
    </row>
    <row r="272" spans="1:49" ht="18.75" x14ac:dyDescent="0.25">
      <c r="F272" s="32"/>
      <c r="G272" s="1"/>
      <c r="H272" s="15">
        <v>2026</v>
      </c>
      <c r="I272" s="15" t="s">
        <v>163</v>
      </c>
      <c r="J272" s="150">
        <f t="shared" ref="J272:AM272" si="16">COUNTIF(J262:J270,"D12")</f>
        <v>2</v>
      </c>
      <c r="K272" s="150">
        <f t="shared" si="16"/>
        <v>2</v>
      </c>
      <c r="L272" s="150">
        <f t="shared" si="16"/>
        <v>2</v>
      </c>
      <c r="M272" s="150">
        <f t="shared" si="16"/>
        <v>2</v>
      </c>
      <c r="N272" s="150">
        <f t="shared" si="16"/>
        <v>2</v>
      </c>
      <c r="O272" s="150">
        <f t="shared" si="16"/>
        <v>2</v>
      </c>
      <c r="P272" s="150">
        <f t="shared" si="16"/>
        <v>2</v>
      </c>
      <c r="Q272" s="150">
        <f t="shared" si="16"/>
        <v>2</v>
      </c>
      <c r="R272" s="150">
        <f t="shared" si="16"/>
        <v>2</v>
      </c>
      <c r="S272" s="150">
        <f t="shared" si="16"/>
        <v>2</v>
      </c>
      <c r="T272" s="150">
        <f t="shared" si="16"/>
        <v>2</v>
      </c>
      <c r="U272" s="150">
        <f t="shared" si="16"/>
        <v>2</v>
      </c>
      <c r="V272" s="150">
        <f t="shared" si="16"/>
        <v>2</v>
      </c>
      <c r="W272" s="150">
        <f t="shared" si="16"/>
        <v>2</v>
      </c>
      <c r="X272" s="150">
        <f t="shared" si="16"/>
        <v>2</v>
      </c>
      <c r="Y272" s="150">
        <f t="shared" si="16"/>
        <v>2</v>
      </c>
      <c r="Z272" s="150">
        <f t="shared" si="16"/>
        <v>2</v>
      </c>
      <c r="AA272" s="150">
        <f t="shared" si="16"/>
        <v>2</v>
      </c>
      <c r="AB272" s="150">
        <f t="shared" si="16"/>
        <v>2</v>
      </c>
      <c r="AC272" s="150">
        <f t="shared" si="16"/>
        <v>2</v>
      </c>
      <c r="AD272" s="150">
        <f t="shared" si="16"/>
        <v>2</v>
      </c>
      <c r="AE272" s="150">
        <f t="shared" si="16"/>
        <v>2</v>
      </c>
      <c r="AF272" s="150">
        <f t="shared" si="16"/>
        <v>2</v>
      </c>
      <c r="AG272" s="150">
        <f t="shared" si="16"/>
        <v>2</v>
      </c>
      <c r="AH272" s="150">
        <f t="shared" si="16"/>
        <v>2</v>
      </c>
      <c r="AI272" s="150">
        <f t="shared" si="16"/>
        <v>2</v>
      </c>
      <c r="AJ272" s="150">
        <f t="shared" si="16"/>
        <v>2</v>
      </c>
      <c r="AK272" s="150">
        <f t="shared" si="16"/>
        <v>2</v>
      </c>
      <c r="AL272" s="150">
        <f t="shared" si="16"/>
        <v>2</v>
      </c>
      <c r="AM272" s="150">
        <f t="shared" si="16"/>
        <v>2</v>
      </c>
      <c r="AN272" s="150">
        <f>COUNTIF(AN261:AN270,"D12")</f>
        <v>0</v>
      </c>
      <c r="AO272" s="33"/>
      <c r="AP272" s="33"/>
      <c r="AQ272" s="34"/>
      <c r="AR272" s="355"/>
      <c r="AS272" s="356"/>
      <c r="AT272" s="355"/>
      <c r="AU272" s="356"/>
      <c r="AV272" s="357"/>
      <c r="AW272" s="4"/>
    </row>
    <row r="273" spans="6:49" ht="18.75" x14ac:dyDescent="0.25">
      <c r="F273" s="35"/>
      <c r="G273" s="36"/>
      <c r="H273" s="15">
        <v>2026</v>
      </c>
      <c r="I273" s="15" t="s">
        <v>163</v>
      </c>
      <c r="J273" s="151">
        <f t="shared" ref="J273:AM273" si="17">COUNTIF(J262:J270,"N12")</f>
        <v>3</v>
      </c>
      <c r="K273" s="151">
        <f t="shared" si="17"/>
        <v>3</v>
      </c>
      <c r="L273" s="151">
        <f t="shared" si="17"/>
        <v>3</v>
      </c>
      <c r="M273" s="151">
        <f t="shared" si="17"/>
        <v>3</v>
      </c>
      <c r="N273" s="151">
        <f t="shared" si="17"/>
        <v>3</v>
      </c>
      <c r="O273" s="151">
        <f t="shared" si="17"/>
        <v>2</v>
      </c>
      <c r="P273" s="151">
        <f t="shared" si="17"/>
        <v>2</v>
      </c>
      <c r="Q273" s="151">
        <f t="shared" si="17"/>
        <v>2</v>
      </c>
      <c r="R273" s="151">
        <f t="shared" si="17"/>
        <v>3</v>
      </c>
      <c r="S273" s="151">
        <f t="shared" si="17"/>
        <v>3</v>
      </c>
      <c r="T273" s="151">
        <f t="shared" si="17"/>
        <v>3</v>
      </c>
      <c r="U273" s="151">
        <f t="shared" si="17"/>
        <v>3</v>
      </c>
      <c r="V273" s="151">
        <f t="shared" si="17"/>
        <v>3</v>
      </c>
      <c r="W273" s="151">
        <f t="shared" si="17"/>
        <v>3</v>
      </c>
      <c r="X273" s="151">
        <f t="shared" si="17"/>
        <v>3</v>
      </c>
      <c r="Y273" s="151">
        <f t="shared" si="17"/>
        <v>3</v>
      </c>
      <c r="Z273" s="151">
        <f t="shared" si="17"/>
        <v>3</v>
      </c>
      <c r="AA273" s="151">
        <f t="shared" si="17"/>
        <v>3</v>
      </c>
      <c r="AB273" s="151">
        <f t="shared" si="17"/>
        <v>3</v>
      </c>
      <c r="AC273" s="151">
        <f t="shared" si="17"/>
        <v>3</v>
      </c>
      <c r="AD273" s="151">
        <f t="shared" si="17"/>
        <v>2</v>
      </c>
      <c r="AE273" s="151">
        <f t="shared" si="17"/>
        <v>2</v>
      </c>
      <c r="AF273" s="151">
        <f t="shared" si="17"/>
        <v>2</v>
      </c>
      <c r="AG273" s="151">
        <f t="shared" si="17"/>
        <v>3</v>
      </c>
      <c r="AH273" s="151">
        <f t="shared" si="17"/>
        <v>3</v>
      </c>
      <c r="AI273" s="151">
        <f t="shared" si="17"/>
        <v>3</v>
      </c>
      <c r="AJ273" s="151">
        <f t="shared" si="17"/>
        <v>3</v>
      </c>
      <c r="AK273" s="151">
        <f t="shared" si="17"/>
        <v>3</v>
      </c>
      <c r="AL273" s="151">
        <f t="shared" si="17"/>
        <v>3</v>
      </c>
      <c r="AM273" s="151">
        <f t="shared" si="17"/>
        <v>3</v>
      </c>
      <c r="AN273" s="151">
        <f>COUNTIF(AN261:AN270,"N12")</f>
        <v>0</v>
      </c>
      <c r="AO273" s="38"/>
      <c r="AP273" s="38"/>
      <c r="AQ273" s="34"/>
      <c r="AR273" s="4"/>
      <c r="AS273" s="4"/>
      <c r="AT273" s="4"/>
      <c r="AU273" s="4"/>
      <c r="AV273" s="4"/>
      <c r="AW273" s="4"/>
    </row>
    <row r="276" spans="6:49" x14ac:dyDescent="0.25">
      <c r="H276" s="301" t="s">
        <v>36</v>
      </c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3"/>
    </row>
    <row r="277" spans="6:49" x14ac:dyDescent="0.25">
      <c r="H277" s="304" t="s">
        <v>37</v>
      </c>
      <c r="I277" s="305"/>
      <c r="J277" s="305"/>
      <c r="K277" s="305"/>
      <c r="L277" s="305"/>
      <c r="M277" s="305"/>
      <c r="N277" s="305"/>
      <c r="O277" s="305"/>
      <c r="P277" s="305"/>
      <c r="Q277" s="305"/>
      <c r="R277" s="305"/>
      <c r="S277" s="305"/>
      <c r="T277" s="305"/>
      <c r="U277" s="305"/>
      <c r="V277" s="305"/>
      <c r="W277" s="305"/>
      <c r="X277" s="305"/>
      <c r="Y277" s="305"/>
      <c r="Z277" s="305"/>
      <c r="AA277" s="306"/>
    </row>
    <row r="278" spans="6:49" x14ac:dyDescent="0.25">
      <c r="H278" s="304" t="s">
        <v>38</v>
      </c>
      <c r="I278" s="305"/>
      <c r="J278" s="305"/>
      <c r="K278" s="305"/>
      <c r="L278" s="305"/>
      <c r="M278" s="305"/>
      <c r="N278" s="305"/>
      <c r="O278" s="305"/>
      <c r="P278" s="305"/>
      <c r="Q278" s="305"/>
      <c r="R278" s="305"/>
      <c r="S278" s="305"/>
      <c r="T278" s="305"/>
      <c r="U278" s="305"/>
      <c r="V278" s="305"/>
      <c r="W278" s="305"/>
      <c r="X278" s="305"/>
      <c r="Y278" s="305"/>
      <c r="Z278" s="305"/>
      <c r="AA278" s="306"/>
    </row>
    <row r="280" spans="6:49" x14ac:dyDescent="0.25">
      <c r="H280" s="55"/>
      <c r="I280" s="279" t="s">
        <v>39</v>
      </c>
      <c r="J280" s="280"/>
      <c r="K280" s="280"/>
      <c r="L280" s="281"/>
      <c r="M280" s="56"/>
      <c r="N280" s="279" t="s">
        <v>40</v>
      </c>
      <c r="O280" s="280"/>
      <c r="P280" s="280"/>
      <c r="Q280" s="280"/>
      <c r="R280" s="281"/>
      <c r="S280" s="300" t="s">
        <v>13</v>
      </c>
      <c r="T280" s="300"/>
      <c r="U280" s="300" t="s">
        <v>14</v>
      </c>
      <c r="V280" s="300"/>
      <c r="W280" s="300"/>
    </row>
    <row r="281" spans="6:49" x14ac:dyDescent="0.25">
      <c r="H281" s="46" t="s">
        <v>32</v>
      </c>
      <c r="I281" s="279" t="s">
        <v>41</v>
      </c>
      <c r="J281" s="280"/>
      <c r="K281" s="280"/>
      <c r="L281" s="281"/>
      <c r="M281" s="47" t="s">
        <v>42</v>
      </c>
      <c r="N281" s="279" t="s">
        <v>43</v>
      </c>
      <c r="O281" s="280"/>
      <c r="P281" s="280"/>
      <c r="Q281" s="280"/>
      <c r="R281" s="281"/>
      <c r="S281" s="340">
        <v>0.75</v>
      </c>
      <c r="T281" s="341"/>
      <c r="U281" s="340">
        <v>0.25</v>
      </c>
      <c r="V281" s="342"/>
      <c r="W281" s="341"/>
    </row>
    <row r="282" spans="6:49" x14ac:dyDescent="0.25">
      <c r="H282" s="48" t="s">
        <v>44</v>
      </c>
      <c r="I282" s="279" t="s">
        <v>45</v>
      </c>
      <c r="J282" s="280"/>
      <c r="K282" s="280"/>
      <c r="L282" s="281"/>
      <c r="M282" s="49" t="s">
        <v>46</v>
      </c>
      <c r="N282" s="279" t="s">
        <v>47</v>
      </c>
      <c r="O282" s="280"/>
      <c r="P282" s="280"/>
      <c r="Q282" s="280"/>
      <c r="R282" s="281"/>
      <c r="S282" s="276">
        <v>0.25</v>
      </c>
      <c r="T282" s="278"/>
      <c r="U282" s="276">
        <v>0.75</v>
      </c>
      <c r="V282" s="277"/>
      <c r="W282" s="278"/>
    </row>
    <row r="283" spans="6:49" x14ac:dyDescent="0.25">
      <c r="H283" s="1" t="s">
        <v>48</v>
      </c>
      <c r="I283" s="279" t="s">
        <v>49</v>
      </c>
      <c r="J283" s="280"/>
      <c r="K283" s="280"/>
      <c r="L283" s="281"/>
      <c r="M283" s="39" t="s">
        <v>50</v>
      </c>
      <c r="N283" s="279" t="s">
        <v>51</v>
      </c>
      <c r="O283" s="280"/>
      <c r="P283" s="280"/>
      <c r="Q283" s="280"/>
      <c r="R283" s="281"/>
      <c r="S283" s="276"/>
      <c r="T283" s="278"/>
      <c r="U283" s="276"/>
      <c r="V283" s="277"/>
      <c r="W283" s="278"/>
    </row>
    <row r="284" spans="6:49" x14ac:dyDescent="0.25">
      <c r="H284" s="1" t="s">
        <v>29</v>
      </c>
      <c r="I284" s="299" t="s">
        <v>52</v>
      </c>
      <c r="J284" s="299"/>
      <c r="K284" s="299"/>
      <c r="L284" s="299"/>
      <c r="M284" s="1" t="s">
        <v>53</v>
      </c>
      <c r="N284" s="299" t="s">
        <v>54</v>
      </c>
      <c r="O284" s="299"/>
      <c r="P284" s="299"/>
      <c r="Q284" s="299"/>
      <c r="R284" s="299"/>
      <c r="S284" s="376"/>
      <c r="T284" s="376"/>
      <c r="U284" s="355"/>
      <c r="V284" s="356"/>
      <c r="W284" s="357"/>
    </row>
    <row r="285" spans="6:49" x14ac:dyDescent="0.25">
      <c r="H285" s="39" t="s">
        <v>28</v>
      </c>
      <c r="I285" s="378" t="s">
        <v>55</v>
      </c>
      <c r="J285" s="378"/>
      <c r="K285" s="378"/>
      <c r="L285" s="378"/>
      <c r="M285" s="39" t="s">
        <v>31</v>
      </c>
      <c r="N285" s="378" t="s">
        <v>56</v>
      </c>
      <c r="O285" s="378"/>
      <c r="P285" s="378"/>
      <c r="Q285" s="378"/>
      <c r="R285" s="378"/>
      <c r="S285" s="339"/>
      <c r="T285" s="339"/>
      <c r="U285" s="379"/>
      <c r="V285" s="277"/>
      <c r="W285" s="278"/>
    </row>
    <row r="297" spans="6:43" ht="15.75" thickBot="1" x14ac:dyDescent="0.3"/>
    <row r="298" spans="6:43" ht="15" customHeight="1" x14ac:dyDescent="0.25">
      <c r="F298" s="263" t="s">
        <v>125</v>
      </c>
      <c r="G298" s="264"/>
      <c r="H298" s="310" t="s">
        <v>1</v>
      </c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  <c r="X298" s="310"/>
      <c r="Y298" s="310"/>
      <c r="Z298" s="310"/>
      <c r="AA298" s="310"/>
      <c r="AB298" s="310"/>
      <c r="AC298" s="310"/>
      <c r="AD298" s="310"/>
      <c r="AE298" s="310"/>
      <c r="AF298" s="310"/>
      <c r="AG298" s="310"/>
      <c r="AH298" s="311"/>
      <c r="AI298" s="289" t="s">
        <v>2</v>
      </c>
      <c r="AJ298" s="289"/>
      <c r="AK298" s="289"/>
      <c r="AL298" s="289"/>
      <c r="AM298" s="289"/>
      <c r="AN298" s="289"/>
      <c r="AO298" s="3"/>
      <c r="AP298" s="3"/>
      <c r="AQ298" s="3"/>
    </row>
    <row r="299" spans="6:43" ht="15" customHeight="1" thickBot="1" x14ac:dyDescent="0.3">
      <c r="F299" s="265"/>
      <c r="G299" s="266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4"/>
      <c r="AG299" s="344"/>
      <c r="AH299" s="345"/>
      <c r="AI299" s="289"/>
      <c r="AJ299" s="289"/>
      <c r="AK299" s="289"/>
      <c r="AL299" s="289"/>
      <c r="AM299" s="289"/>
      <c r="AN299" s="289"/>
      <c r="AO299" s="3"/>
      <c r="AP299" s="3"/>
      <c r="AQ299" s="3"/>
    </row>
    <row r="300" spans="6:43" ht="15" customHeight="1" x14ac:dyDescent="0.25">
      <c r="F300" s="270"/>
      <c r="G300" s="271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  <c r="AA300" s="344"/>
      <c r="AB300" s="344"/>
      <c r="AC300" s="344"/>
      <c r="AD300" s="344"/>
      <c r="AE300" s="344"/>
      <c r="AF300" s="344"/>
      <c r="AG300" s="344"/>
      <c r="AH300" s="345"/>
      <c r="AI300" s="289"/>
      <c r="AJ300" s="289"/>
      <c r="AK300" s="289"/>
      <c r="AL300" s="289"/>
      <c r="AM300" s="289"/>
      <c r="AN300" s="289"/>
      <c r="AO300" s="3"/>
      <c r="AP300" s="3"/>
      <c r="AQ300" s="3"/>
    </row>
    <row r="301" spans="6:43" ht="15" customHeight="1" x14ac:dyDescent="0.25">
      <c r="F301" s="272"/>
      <c r="G301" s="273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  <c r="AA301" s="344"/>
      <c r="AB301" s="344"/>
      <c r="AC301" s="344"/>
      <c r="AD301" s="344"/>
      <c r="AE301" s="344"/>
      <c r="AF301" s="344"/>
      <c r="AG301" s="344"/>
      <c r="AH301" s="345"/>
      <c r="AI301" s="289"/>
      <c r="AJ301" s="289"/>
      <c r="AK301" s="289"/>
      <c r="AL301" s="289"/>
      <c r="AM301" s="289"/>
      <c r="AN301" s="289"/>
      <c r="AO301" s="3"/>
      <c r="AP301" s="3"/>
      <c r="AQ301" s="3"/>
    </row>
    <row r="302" spans="6:43" ht="15.75" customHeight="1" x14ac:dyDescent="0.25">
      <c r="F302" s="272"/>
      <c r="G302" s="273"/>
      <c r="H302" s="290" t="s">
        <v>3</v>
      </c>
      <c r="I302" s="290"/>
      <c r="J302" s="290"/>
      <c r="K302" s="291" t="s">
        <v>4</v>
      </c>
      <c r="L302" s="291"/>
      <c r="M302" s="291"/>
      <c r="N302" s="291"/>
      <c r="O302" s="291"/>
      <c r="P302" s="291"/>
      <c r="Q302" s="291"/>
      <c r="R302" s="291"/>
      <c r="S302" s="291"/>
      <c r="T302" s="291"/>
      <c r="U302" s="291"/>
      <c r="V302" s="291"/>
      <c r="W302" s="291"/>
      <c r="X302" s="291"/>
      <c r="Y302" s="291"/>
      <c r="Z302" s="291"/>
      <c r="AA302" s="291"/>
      <c r="AB302" s="291"/>
      <c r="AC302" s="291"/>
      <c r="AD302" s="291"/>
      <c r="AE302" s="291"/>
      <c r="AF302" s="291"/>
      <c r="AG302" s="291"/>
      <c r="AH302" s="292"/>
      <c r="AI302" s="289" t="s">
        <v>5</v>
      </c>
      <c r="AJ302" s="289"/>
      <c r="AK302" s="289"/>
      <c r="AL302" s="289"/>
      <c r="AM302" s="289"/>
      <c r="AN302" s="289"/>
      <c r="AO302" s="3"/>
      <c r="AP302" s="3"/>
      <c r="AQ302" s="3"/>
    </row>
    <row r="303" spans="6:43" ht="15" customHeight="1" x14ac:dyDescent="0.25">
      <c r="F303" s="272"/>
      <c r="G303" s="273"/>
      <c r="H303" s="6" t="s">
        <v>6</v>
      </c>
      <c r="I303" s="6"/>
      <c r="J303" s="6"/>
      <c r="K303" s="291" t="s">
        <v>7</v>
      </c>
      <c r="L303" s="291"/>
      <c r="M303" s="291"/>
      <c r="N303" s="291"/>
      <c r="O303" s="291"/>
      <c r="P303" s="291"/>
      <c r="Q303" s="291"/>
      <c r="R303" s="291"/>
      <c r="S303" s="291"/>
      <c r="T303" s="291"/>
      <c r="U303" s="291"/>
      <c r="V303" s="291"/>
      <c r="W303" s="291"/>
      <c r="X303" s="291"/>
      <c r="Y303" s="291"/>
      <c r="Z303" s="291"/>
      <c r="AA303" s="291"/>
      <c r="AB303" s="291"/>
      <c r="AC303" s="291"/>
      <c r="AD303" s="291"/>
      <c r="AE303" s="291"/>
      <c r="AF303" s="291"/>
      <c r="AG303" s="291"/>
      <c r="AH303" s="292"/>
      <c r="AI303" s="289"/>
      <c r="AJ303" s="289"/>
      <c r="AK303" s="289"/>
      <c r="AL303" s="289"/>
      <c r="AM303" s="289"/>
      <c r="AN303" s="289"/>
      <c r="AO303" s="3"/>
      <c r="AP303" s="3"/>
      <c r="AQ303" s="3"/>
    </row>
    <row r="304" spans="6:43" ht="15" customHeight="1" x14ac:dyDescent="0.25">
      <c r="F304" s="272"/>
      <c r="G304" s="273"/>
      <c r="H304" s="290" t="s">
        <v>8</v>
      </c>
      <c r="I304" s="290"/>
      <c r="J304" s="290"/>
      <c r="K304" s="291" t="s">
        <v>9</v>
      </c>
      <c r="L304" s="291"/>
      <c r="M304" s="291"/>
      <c r="N304" s="291"/>
      <c r="O304" s="291"/>
      <c r="P304" s="291"/>
      <c r="Q304" s="291"/>
      <c r="R304" s="291"/>
      <c r="S304" s="291"/>
      <c r="T304" s="291"/>
      <c r="U304" s="291"/>
      <c r="V304" s="291"/>
      <c r="W304" s="291"/>
      <c r="X304" s="291"/>
      <c r="Y304" s="291"/>
      <c r="Z304" s="291"/>
      <c r="AA304" s="291"/>
      <c r="AB304" s="291"/>
      <c r="AC304" s="291"/>
      <c r="AD304" s="291"/>
      <c r="AE304" s="291"/>
      <c r="AF304" s="291"/>
      <c r="AG304" s="291"/>
      <c r="AH304" s="292"/>
      <c r="AI304" s="289" t="s">
        <v>10</v>
      </c>
      <c r="AJ304" s="289"/>
      <c r="AK304" s="289"/>
      <c r="AL304" s="289"/>
      <c r="AM304" s="289"/>
      <c r="AN304" s="289"/>
      <c r="AO304" s="3"/>
      <c r="AP304" s="3"/>
      <c r="AQ304" s="3"/>
    </row>
    <row r="305" spans="1:49" ht="15.75" customHeight="1" thickBot="1" x14ac:dyDescent="0.3">
      <c r="F305" s="274"/>
      <c r="G305" s="275"/>
      <c r="H305" s="293" t="s">
        <v>11</v>
      </c>
      <c r="I305" s="293"/>
      <c r="J305" s="293"/>
      <c r="K305" s="294" t="s">
        <v>12</v>
      </c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  <c r="AD305" s="294"/>
      <c r="AE305" s="294"/>
      <c r="AF305" s="294"/>
      <c r="AG305" s="294"/>
      <c r="AH305" s="295"/>
      <c r="AI305" s="289"/>
      <c r="AJ305" s="289"/>
      <c r="AK305" s="289"/>
      <c r="AL305" s="289"/>
      <c r="AM305" s="289"/>
      <c r="AN305" s="289"/>
      <c r="AO305" s="2"/>
      <c r="AP305" s="2"/>
      <c r="AQ305" s="2"/>
    </row>
    <row r="306" spans="1:49" ht="18.75" x14ac:dyDescent="0.25">
      <c r="A306" s="7" t="s">
        <v>15</v>
      </c>
      <c r="B306" s="8" t="s">
        <v>16</v>
      </c>
      <c r="C306" s="9" t="s">
        <v>17</v>
      </c>
      <c r="D306" s="9" t="s">
        <v>18</v>
      </c>
      <c r="E306" s="9" t="s">
        <v>19</v>
      </c>
      <c r="F306" s="170" t="s">
        <v>20</v>
      </c>
      <c r="G306" s="118" t="s">
        <v>21</v>
      </c>
      <c r="H306" s="7" t="s">
        <v>22</v>
      </c>
      <c r="I306" s="7" t="s">
        <v>23</v>
      </c>
      <c r="J306" s="247" t="s">
        <v>132</v>
      </c>
      <c r="K306" s="247" t="s">
        <v>133</v>
      </c>
      <c r="L306" s="247" t="s">
        <v>134</v>
      </c>
      <c r="M306" s="247" t="s">
        <v>135</v>
      </c>
      <c r="N306" s="247" t="s">
        <v>136</v>
      </c>
      <c r="O306" s="247" t="s">
        <v>137</v>
      </c>
      <c r="P306" s="155" t="s">
        <v>138</v>
      </c>
      <c r="Q306" s="155" t="s">
        <v>139</v>
      </c>
      <c r="R306" s="247" t="s">
        <v>140</v>
      </c>
      <c r="S306" s="247" t="s">
        <v>141</v>
      </c>
      <c r="T306" s="247" t="s">
        <v>142</v>
      </c>
      <c r="U306" s="247" t="s">
        <v>143</v>
      </c>
      <c r="V306" s="247" t="s">
        <v>144</v>
      </c>
      <c r="W306" s="155" t="s">
        <v>145</v>
      </c>
      <c r="X306" s="155" t="s">
        <v>146</v>
      </c>
      <c r="Y306" s="247" t="s">
        <v>147</v>
      </c>
      <c r="Z306" s="247" t="s">
        <v>148</v>
      </c>
      <c r="AA306" s="247" t="s">
        <v>149</v>
      </c>
      <c r="AB306" s="247" t="s">
        <v>150</v>
      </c>
      <c r="AC306" s="247" t="s">
        <v>151</v>
      </c>
      <c r="AD306" s="155" t="s">
        <v>152</v>
      </c>
      <c r="AE306" s="247" t="s">
        <v>153</v>
      </c>
      <c r="AF306" s="247" t="s">
        <v>154</v>
      </c>
      <c r="AG306" s="247" t="s">
        <v>155</v>
      </c>
      <c r="AH306" s="248" t="s">
        <v>156</v>
      </c>
      <c r="AI306" s="247" t="s">
        <v>157</v>
      </c>
      <c r="AJ306" s="247" t="s">
        <v>158</v>
      </c>
      <c r="AK306" s="155" t="s">
        <v>159</v>
      </c>
      <c r="AL306" s="155" t="s">
        <v>160</v>
      </c>
      <c r="AM306" s="247" t="s">
        <v>161</v>
      </c>
      <c r="AN306" s="249" t="s">
        <v>162</v>
      </c>
      <c r="AO306" s="11" t="s">
        <v>24</v>
      </c>
      <c r="AP306" s="11" t="s">
        <v>25</v>
      </c>
      <c r="AQ306" s="11" t="s">
        <v>26</v>
      </c>
    </row>
    <row r="307" spans="1:49" x14ac:dyDescent="0.25">
      <c r="F307" s="171">
        <v>76317577</v>
      </c>
      <c r="G307" s="172" t="s">
        <v>83</v>
      </c>
      <c r="H307" s="15">
        <v>2026</v>
      </c>
      <c r="I307" s="15" t="s">
        <v>163</v>
      </c>
      <c r="J307" s="164"/>
      <c r="K307" s="164"/>
      <c r="L307" s="161" t="s">
        <v>48</v>
      </c>
      <c r="M307" s="160" t="s">
        <v>29</v>
      </c>
      <c r="N307" s="160" t="s">
        <v>29</v>
      </c>
      <c r="O307" s="160" t="s">
        <v>29</v>
      </c>
      <c r="P307" s="160" t="s">
        <v>29</v>
      </c>
      <c r="Q307" s="160" t="s">
        <v>29</v>
      </c>
      <c r="R307" s="163" t="s">
        <v>29</v>
      </c>
      <c r="S307" s="160" t="s">
        <v>29</v>
      </c>
      <c r="T307" s="160" t="s">
        <v>29</v>
      </c>
      <c r="U307" s="160" t="s">
        <v>29</v>
      </c>
      <c r="V307" s="160" t="s">
        <v>29</v>
      </c>
      <c r="W307" s="160" t="s">
        <v>29</v>
      </c>
      <c r="X307" s="160" t="s">
        <v>29</v>
      </c>
      <c r="Y307" s="164"/>
      <c r="Z307" s="164"/>
      <c r="AA307" s="161" t="s">
        <v>48</v>
      </c>
      <c r="AB307" s="160" t="s">
        <v>29</v>
      </c>
      <c r="AC307" s="160" t="s">
        <v>29</v>
      </c>
      <c r="AD307" s="160" t="s">
        <v>29</v>
      </c>
      <c r="AE307" s="160" t="s">
        <v>29</v>
      </c>
      <c r="AF307" s="160" t="s">
        <v>29</v>
      </c>
      <c r="AG307" s="160" t="s">
        <v>29</v>
      </c>
      <c r="AH307" s="163" t="s">
        <v>29</v>
      </c>
      <c r="AI307" s="163" t="s">
        <v>29</v>
      </c>
      <c r="AJ307" s="163" t="s">
        <v>29</v>
      </c>
      <c r="AK307" s="163" t="s">
        <v>29</v>
      </c>
      <c r="AL307" s="160" t="s">
        <v>29</v>
      </c>
      <c r="AM307" s="160" t="s">
        <v>29</v>
      </c>
      <c r="AN307" s="160"/>
      <c r="AO307" s="16">
        <f>COUNTIF(Tabla13234443[[#This Row],[1L]:[Columna1]],"D12")</f>
        <v>0</v>
      </c>
      <c r="AP307" s="17">
        <f>COUNTIF(Tabla13234443[[#This Row],[1L]:[Columna1]],"N12")</f>
        <v>24</v>
      </c>
      <c r="AQ307" s="18">
        <f>COUNTBLANK(Tabla13234443[[#This Row],[1L]:[Columna1]])</f>
        <v>5</v>
      </c>
    </row>
    <row r="308" spans="1:49" x14ac:dyDescent="0.25">
      <c r="F308" s="173">
        <v>71187380</v>
      </c>
      <c r="G308" s="174" t="s">
        <v>124</v>
      </c>
      <c r="H308" s="15">
        <v>2026</v>
      </c>
      <c r="I308" s="15" t="s">
        <v>163</v>
      </c>
      <c r="J308" s="225" t="s">
        <v>29</v>
      </c>
      <c r="K308" s="225" t="s">
        <v>29</v>
      </c>
      <c r="L308" s="225" t="s">
        <v>29</v>
      </c>
      <c r="M308" s="167" t="s">
        <v>31</v>
      </c>
      <c r="N308" s="167" t="s">
        <v>31</v>
      </c>
      <c r="O308" s="225" t="s">
        <v>28</v>
      </c>
      <c r="P308" s="225" t="s">
        <v>28</v>
      </c>
      <c r="Q308" s="225" t="s">
        <v>28</v>
      </c>
      <c r="R308" s="164"/>
      <c r="S308" s="164"/>
      <c r="T308" s="98" t="s">
        <v>31</v>
      </c>
      <c r="U308" s="98" t="s">
        <v>31</v>
      </c>
      <c r="V308" s="225" t="s">
        <v>28</v>
      </c>
      <c r="W308" s="225" t="s">
        <v>28</v>
      </c>
      <c r="X308" s="225" t="s">
        <v>28</v>
      </c>
      <c r="Y308" s="225" t="s">
        <v>29</v>
      </c>
      <c r="Z308" s="225" t="s">
        <v>29</v>
      </c>
      <c r="AA308" s="225" t="s">
        <v>29</v>
      </c>
      <c r="AB308" s="167" t="s">
        <v>31</v>
      </c>
      <c r="AC308" s="225" t="s">
        <v>28</v>
      </c>
      <c r="AD308" s="225" t="s">
        <v>28</v>
      </c>
      <c r="AE308" s="164"/>
      <c r="AF308" s="164"/>
      <c r="AG308" s="98" t="s">
        <v>31</v>
      </c>
      <c r="AH308" s="98" t="s">
        <v>31</v>
      </c>
      <c r="AI308" s="167" t="s">
        <v>31</v>
      </c>
      <c r="AJ308" s="225" t="s">
        <v>28</v>
      </c>
      <c r="AK308" s="225" t="s">
        <v>28</v>
      </c>
      <c r="AL308" s="225" t="s">
        <v>28</v>
      </c>
      <c r="AM308" s="167" t="s">
        <v>31</v>
      </c>
      <c r="AN308" s="225"/>
      <c r="AO308" s="149">
        <f>COUNTIF(Tabla13234443[[#This Row],[1L]:[Columna1]],"D12")</f>
        <v>11</v>
      </c>
      <c r="AP308" s="17">
        <f>COUNTIF(Tabla13234443[[#This Row],[1L]:[Columna1]],"N12")</f>
        <v>6</v>
      </c>
      <c r="AQ308" s="18">
        <f>COUNTBLANK(Tabla13234443[[#This Row],[1L]:[Columna1]])</f>
        <v>5</v>
      </c>
    </row>
    <row r="309" spans="1:49" x14ac:dyDescent="0.25">
      <c r="F309" s="13"/>
      <c r="G309" s="90"/>
      <c r="H309" s="15">
        <v>2026</v>
      </c>
      <c r="I309" s="15" t="s">
        <v>163</v>
      </c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/>
      <c r="AM309" s="194"/>
      <c r="AN309" s="166"/>
      <c r="AO309" s="149">
        <f>COUNTIF(Tabla13234443[[#This Row],[1L]:[Columna1]],"D12")</f>
        <v>0</v>
      </c>
      <c r="AP309" s="17">
        <f>COUNTIF(Tabla13234443[[#This Row],[1L]:[Columna1]],"N12")</f>
        <v>0</v>
      </c>
      <c r="AQ309" s="18">
        <f>COUNTBLANK(Tabla13234443[[#This Row],[1L]:[Columna1]])</f>
        <v>31</v>
      </c>
    </row>
    <row r="310" spans="1:49" x14ac:dyDescent="0.25">
      <c r="F310" s="175"/>
      <c r="G310" s="176"/>
      <c r="H310" s="15">
        <v>2026</v>
      </c>
      <c r="I310" s="15" t="s">
        <v>163</v>
      </c>
      <c r="J310" s="163"/>
      <c r="K310" s="163"/>
      <c r="L310" s="163"/>
      <c r="M310" s="163"/>
      <c r="N310" s="166"/>
      <c r="O310" s="166"/>
      <c r="P310" s="166"/>
      <c r="Q310" s="163"/>
      <c r="R310" s="126"/>
      <c r="S310" s="126"/>
      <c r="T310" s="126"/>
      <c r="U310" s="126"/>
      <c r="V310" s="126"/>
      <c r="W310" s="126"/>
      <c r="X310" s="166"/>
      <c r="Y310" s="163"/>
      <c r="Z310" s="126"/>
      <c r="AA310" s="163"/>
      <c r="AB310" s="163"/>
      <c r="AC310" s="166"/>
      <c r="AD310" s="163"/>
      <c r="AE310" s="166"/>
      <c r="AF310" s="126"/>
      <c r="AG310" s="126"/>
      <c r="AH310" s="126"/>
      <c r="AI310" s="126"/>
      <c r="AJ310" s="126"/>
      <c r="AK310" s="163"/>
      <c r="AL310" s="126"/>
      <c r="AM310" s="126"/>
      <c r="AN310" s="126"/>
      <c r="AO310" s="149">
        <f>COUNTIF(Tabla13234443[[#This Row],[1L]:[Columna1]],"D12")</f>
        <v>0</v>
      </c>
      <c r="AP310" s="17">
        <f>COUNTIF(Tabla13234443[[#This Row],[1L]:[Columna1]],"N12")</f>
        <v>0</v>
      </c>
      <c r="AQ310" s="18">
        <f>COUNTBLANK(Tabla13234443[[#This Row],[1L]:[Columna1]])</f>
        <v>31</v>
      </c>
    </row>
    <row r="311" spans="1:49" x14ac:dyDescent="0.25">
      <c r="F311" s="178"/>
      <c r="G311" s="179"/>
      <c r="H311" s="15">
        <v>2026</v>
      </c>
      <c r="I311" s="15" t="s">
        <v>163</v>
      </c>
      <c r="J311" s="163"/>
      <c r="K311" s="166"/>
      <c r="L311" s="166"/>
      <c r="M311" s="166"/>
      <c r="N311" s="166"/>
      <c r="O311" s="166"/>
      <c r="P311" s="126"/>
      <c r="Q311" s="126"/>
      <c r="R311" s="126"/>
      <c r="S311" s="126"/>
      <c r="T311" s="166"/>
      <c r="U311" s="166"/>
      <c r="V311" s="163"/>
      <c r="W311" s="166"/>
      <c r="X311" s="163"/>
      <c r="Y311" s="166"/>
      <c r="Z311" s="166"/>
      <c r="AA311" s="166"/>
      <c r="AB311" s="166"/>
      <c r="AC311" s="166"/>
      <c r="AD311" s="126"/>
      <c r="AE311" s="126"/>
      <c r="AF311" s="126"/>
      <c r="AG311" s="126"/>
      <c r="AH311" s="166"/>
      <c r="AI311" s="166"/>
      <c r="AJ311" s="163"/>
      <c r="AK311" s="166"/>
      <c r="AL311" s="163"/>
      <c r="AM311" s="166"/>
      <c r="AN311" s="166"/>
      <c r="AO311" s="149">
        <f>COUNTIF(Tabla13234443[[#This Row],[1L]:[Columna1]],"D12")</f>
        <v>0</v>
      </c>
      <c r="AP311" s="17">
        <f>COUNTIF(Tabla13234443[[#This Row],[1L]:[Columna1]],"N12")</f>
        <v>0</v>
      </c>
      <c r="AQ311" s="18">
        <f>COUNTBLANK(Tabla13234443[[#This Row],[1L]:[Columna1]])</f>
        <v>31</v>
      </c>
    </row>
    <row r="312" spans="1:49" x14ac:dyDescent="0.25">
      <c r="F312" s="180"/>
      <c r="G312" s="177"/>
      <c r="H312" s="15">
        <v>2026</v>
      </c>
      <c r="I312" s="15" t="s">
        <v>163</v>
      </c>
      <c r="J312" s="166"/>
      <c r="K312" s="166"/>
      <c r="L312" s="126"/>
      <c r="M312" s="126"/>
      <c r="N312" s="126"/>
      <c r="O312" s="126"/>
      <c r="P312" s="166"/>
      <c r="Q312" s="166"/>
      <c r="R312" s="163"/>
      <c r="S312" s="166"/>
      <c r="T312" s="163"/>
      <c r="U312" s="166"/>
      <c r="V312" s="166"/>
      <c r="W312" s="166"/>
      <c r="X312" s="166"/>
      <c r="Y312" s="166"/>
      <c r="Z312" s="126"/>
      <c r="AA312" s="126"/>
      <c r="AB312" s="126"/>
      <c r="AC312" s="126"/>
      <c r="AD312" s="166"/>
      <c r="AE312" s="166"/>
      <c r="AF312" s="163"/>
      <c r="AG312" s="166"/>
      <c r="AH312" s="163"/>
      <c r="AI312" s="166"/>
      <c r="AJ312" s="166"/>
      <c r="AK312" s="166"/>
      <c r="AL312" s="166"/>
      <c r="AM312" s="166"/>
      <c r="AN312" s="126"/>
      <c r="AO312" s="149">
        <f>COUNTIF(Tabla13234443[[#This Row],[1L]:[Columna1]],"D12")</f>
        <v>0</v>
      </c>
      <c r="AP312" s="17">
        <f>COUNTIF(Tabla13234443[[#This Row],[1L]:[Columna1]],"N12")</f>
        <v>0</v>
      </c>
      <c r="AQ312" s="18">
        <f>COUNTBLANK(Tabla13234443[[#This Row],[1L]:[Columna1]])</f>
        <v>31</v>
      </c>
    </row>
    <row r="313" spans="1:49" x14ac:dyDescent="0.25">
      <c r="F313" s="13"/>
      <c r="G313" s="90"/>
      <c r="H313" s="15">
        <v>2026</v>
      </c>
      <c r="I313" s="15" t="s">
        <v>163</v>
      </c>
      <c r="J313" s="167"/>
      <c r="K313" s="167"/>
      <c r="L313" s="167"/>
      <c r="M313" s="167"/>
      <c r="N313" s="167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7"/>
      <c r="Z313" s="167"/>
      <c r="AA313" s="167"/>
      <c r="AB313" s="167"/>
      <c r="AC313" s="167"/>
      <c r="AD313" s="166"/>
      <c r="AE313" s="166"/>
      <c r="AF313" s="166"/>
      <c r="AG313" s="166"/>
      <c r="AH313" s="166"/>
      <c r="AI313" s="166"/>
      <c r="AJ313" s="166"/>
      <c r="AK313" s="166"/>
      <c r="AL313" s="166"/>
      <c r="AM313" s="194"/>
      <c r="AN313" s="166"/>
      <c r="AO313" s="17">
        <f>COUNTIF(Tabla13234443[[#This Row],[1L]:[Columna1]],"D12")</f>
        <v>0</v>
      </c>
      <c r="AP313" s="17">
        <f>COUNTIF(Tabla13234443[[#This Row],[1L]:[Columna1]],"N12")</f>
        <v>0</v>
      </c>
      <c r="AQ313" s="27">
        <f>COUNTBLANK(Tabla13234443[[#This Row],[1L]:[Columna1]])</f>
        <v>31</v>
      </c>
    </row>
    <row r="314" spans="1:49" ht="18.75" x14ac:dyDescent="0.25">
      <c r="F314" s="32"/>
      <c r="G314" s="1"/>
      <c r="H314" s="15">
        <v>2026</v>
      </c>
      <c r="I314" s="15" t="s">
        <v>163</v>
      </c>
      <c r="J314" s="150">
        <f t="shared" ref="J314:AN314" si="18">COUNTIF(J306:J313,"D12")</f>
        <v>0</v>
      </c>
      <c r="K314" s="150">
        <f t="shared" si="18"/>
        <v>0</v>
      </c>
      <c r="L314" s="150">
        <f t="shared" si="18"/>
        <v>0</v>
      </c>
      <c r="M314" s="150">
        <f t="shared" si="18"/>
        <v>0</v>
      </c>
      <c r="N314" s="150">
        <f t="shared" si="18"/>
        <v>0</v>
      </c>
      <c r="O314" s="150">
        <f t="shared" si="18"/>
        <v>1</v>
      </c>
      <c r="P314" s="150">
        <f t="shared" si="18"/>
        <v>1</v>
      </c>
      <c r="Q314" s="150">
        <f t="shared" si="18"/>
        <v>1</v>
      </c>
      <c r="R314" s="150">
        <f t="shared" si="18"/>
        <v>0</v>
      </c>
      <c r="S314" s="150">
        <f t="shared" si="18"/>
        <v>0</v>
      </c>
      <c r="T314" s="150">
        <f t="shared" si="18"/>
        <v>0</v>
      </c>
      <c r="U314" s="150">
        <f t="shared" si="18"/>
        <v>0</v>
      </c>
      <c r="V314" s="150">
        <f t="shared" si="18"/>
        <v>1</v>
      </c>
      <c r="W314" s="150">
        <f t="shared" si="18"/>
        <v>1</v>
      </c>
      <c r="X314" s="150">
        <f t="shared" si="18"/>
        <v>1</v>
      </c>
      <c r="Y314" s="150">
        <f t="shared" si="18"/>
        <v>0</v>
      </c>
      <c r="Z314" s="150">
        <f t="shared" si="18"/>
        <v>0</v>
      </c>
      <c r="AA314" s="150">
        <f t="shared" si="18"/>
        <v>0</v>
      </c>
      <c r="AB314" s="150">
        <f t="shared" si="18"/>
        <v>0</v>
      </c>
      <c r="AC314" s="150">
        <f t="shared" si="18"/>
        <v>1</v>
      </c>
      <c r="AD314" s="150">
        <f t="shared" si="18"/>
        <v>1</v>
      </c>
      <c r="AE314" s="150">
        <f t="shared" si="18"/>
        <v>0</v>
      </c>
      <c r="AF314" s="150">
        <f t="shared" si="18"/>
        <v>0</v>
      </c>
      <c r="AG314" s="150">
        <f t="shared" si="18"/>
        <v>0</v>
      </c>
      <c r="AH314" s="150">
        <f t="shared" si="18"/>
        <v>0</v>
      </c>
      <c r="AI314" s="150">
        <f t="shared" si="18"/>
        <v>0</v>
      </c>
      <c r="AJ314" s="150">
        <f t="shared" si="18"/>
        <v>1</v>
      </c>
      <c r="AK314" s="150">
        <f t="shared" si="18"/>
        <v>1</v>
      </c>
      <c r="AL314" s="150">
        <f t="shared" si="18"/>
        <v>1</v>
      </c>
      <c r="AM314" s="150">
        <f t="shared" si="18"/>
        <v>0</v>
      </c>
      <c r="AN314" s="150">
        <f t="shared" si="18"/>
        <v>0</v>
      </c>
      <c r="AO314" s="33"/>
      <c r="AP314" s="33"/>
      <c r="AQ314" s="34"/>
      <c r="AR314" s="276">
        <v>0.91666666666666663</v>
      </c>
      <c r="AS314" s="278"/>
      <c r="AT314" s="276">
        <v>0.25</v>
      </c>
      <c r="AU314" s="277"/>
      <c r="AV314" s="278"/>
      <c r="AW314" s="4"/>
    </row>
    <row r="315" spans="1:49" ht="18.75" x14ac:dyDescent="0.25">
      <c r="F315" s="32"/>
      <c r="G315" s="1"/>
      <c r="H315" s="15">
        <v>2026</v>
      </c>
      <c r="I315" s="15" t="s">
        <v>163</v>
      </c>
      <c r="J315" s="151">
        <f t="shared" ref="J315:AN315" si="19">COUNTIF(J306:J313,"N12")</f>
        <v>1</v>
      </c>
      <c r="K315" s="151">
        <f t="shared" si="19"/>
        <v>1</v>
      </c>
      <c r="L315" s="151">
        <f t="shared" si="19"/>
        <v>1</v>
      </c>
      <c r="M315" s="151">
        <f t="shared" si="19"/>
        <v>1</v>
      </c>
      <c r="N315" s="151">
        <f t="shared" si="19"/>
        <v>1</v>
      </c>
      <c r="O315" s="151">
        <f t="shared" si="19"/>
        <v>1</v>
      </c>
      <c r="P315" s="151">
        <f t="shared" si="19"/>
        <v>1</v>
      </c>
      <c r="Q315" s="151">
        <f t="shared" si="19"/>
        <v>1</v>
      </c>
      <c r="R315" s="151">
        <f t="shared" si="19"/>
        <v>1</v>
      </c>
      <c r="S315" s="151">
        <f t="shared" si="19"/>
        <v>1</v>
      </c>
      <c r="T315" s="151">
        <f t="shared" si="19"/>
        <v>1</v>
      </c>
      <c r="U315" s="151">
        <f t="shared" si="19"/>
        <v>1</v>
      </c>
      <c r="V315" s="151">
        <f t="shared" si="19"/>
        <v>1</v>
      </c>
      <c r="W315" s="151">
        <f t="shared" si="19"/>
        <v>1</v>
      </c>
      <c r="X315" s="151">
        <f t="shared" si="19"/>
        <v>1</v>
      </c>
      <c r="Y315" s="151">
        <f t="shared" si="19"/>
        <v>1</v>
      </c>
      <c r="Z315" s="151">
        <f t="shared" si="19"/>
        <v>1</v>
      </c>
      <c r="AA315" s="151">
        <f t="shared" si="19"/>
        <v>1</v>
      </c>
      <c r="AB315" s="151">
        <f t="shared" si="19"/>
        <v>1</v>
      </c>
      <c r="AC315" s="151">
        <f t="shared" si="19"/>
        <v>1</v>
      </c>
      <c r="AD315" s="151">
        <f t="shared" si="19"/>
        <v>1</v>
      </c>
      <c r="AE315" s="151">
        <f t="shared" si="19"/>
        <v>1</v>
      </c>
      <c r="AF315" s="151">
        <f t="shared" si="19"/>
        <v>1</v>
      </c>
      <c r="AG315" s="151">
        <f t="shared" si="19"/>
        <v>1</v>
      </c>
      <c r="AH315" s="151">
        <f t="shared" si="19"/>
        <v>1</v>
      </c>
      <c r="AI315" s="151">
        <f t="shared" si="19"/>
        <v>1</v>
      </c>
      <c r="AJ315" s="151">
        <f t="shared" si="19"/>
        <v>1</v>
      </c>
      <c r="AK315" s="151">
        <f t="shared" si="19"/>
        <v>1</v>
      </c>
      <c r="AL315" s="151">
        <f t="shared" si="19"/>
        <v>1</v>
      </c>
      <c r="AM315" s="151">
        <f t="shared" si="19"/>
        <v>1</v>
      </c>
      <c r="AN315" s="151">
        <f t="shared" si="19"/>
        <v>0</v>
      </c>
      <c r="AO315" s="38"/>
      <c r="AP315" s="38"/>
      <c r="AQ315" s="34"/>
      <c r="AR315" s="4"/>
      <c r="AS315" s="4"/>
      <c r="AT315" s="4"/>
      <c r="AU315" s="4"/>
      <c r="AV315" s="4"/>
      <c r="AW315" s="4"/>
    </row>
    <row r="316" spans="1:49" x14ac:dyDescent="0.25">
      <c r="AR316" s="4"/>
      <c r="AS316" s="4"/>
      <c r="AT316" s="4"/>
      <c r="AU316" s="4"/>
      <c r="AV316" s="4"/>
      <c r="AW316" s="4"/>
    </row>
    <row r="317" spans="1:49" x14ac:dyDescent="0.25">
      <c r="H317" s="296" t="s">
        <v>36</v>
      </c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8"/>
    </row>
    <row r="318" spans="1:49" x14ac:dyDescent="0.25">
      <c r="H318" s="296" t="s">
        <v>37</v>
      </c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8"/>
    </row>
    <row r="319" spans="1:49" x14ac:dyDescent="0.25">
      <c r="H319" s="296" t="s">
        <v>38</v>
      </c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8"/>
    </row>
    <row r="321" spans="6:49" x14ac:dyDescent="0.25">
      <c r="H321" s="55"/>
      <c r="I321" s="380" t="s">
        <v>39</v>
      </c>
      <c r="J321" s="381"/>
      <c r="K321" s="381"/>
      <c r="L321" s="382"/>
      <c r="M321" s="226"/>
      <c r="N321" s="380" t="s">
        <v>112</v>
      </c>
      <c r="O321" s="381"/>
      <c r="P321" s="381"/>
      <c r="Q321" s="381"/>
      <c r="R321" s="382"/>
      <c r="S321" s="300" t="s">
        <v>13</v>
      </c>
      <c r="T321" s="300"/>
      <c r="U321" s="300" t="s">
        <v>14</v>
      </c>
      <c r="V321" s="300"/>
      <c r="W321" s="300"/>
      <c r="X321" s="1"/>
      <c r="Y321" s="1"/>
      <c r="Z321" s="1"/>
      <c r="AA321" s="1"/>
    </row>
    <row r="322" spans="6:49" x14ac:dyDescent="0.25">
      <c r="H322" s="227" t="s">
        <v>32</v>
      </c>
      <c r="I322" s="380" t="s">
        <v>41</v>
      </c>
      <c r="J322" s="381"/>
      <c r="K322" s="381"/>
      <c r="L322" s="382"/>
      <c r="M322" s="228" t="s">
        <v>42</v>
      </c>
      <c r="N322" s="380" t="s">
        <v>43</v>
      </c>
      <c r="O322" s="381"/>
      <c r="P322" s="381"/>
      <c r="Q322" s="381"/>
      <c r="R322" s="382"/>
      <c r="S322" s="383">
        <v>0.75</v>
      </c>
      <c r="T322" s="384"/>
      <c r="U322" s="383">
        <v>0.25</v>
      </c>
      <c r="V322" s="385"/>
      <c r="W322" s="384"/>
      <c r="X322" s="1"/>
      <c r="Y322" s="1"/>
      <c r="Z322" s="1"/>
      <c r="AA322" s="1"/>
    </row>
    <row r="323" spans="6:49" x14ac:dyDescent="0.25">
      <c r="H323" s="229" t="s">
        <v>44</v>
      </c>
      <c r="I323" s="380" t="s">
        <v>45</v>
      </c>
      <c r="J323" s="381"/>
      <c r="K323" s="381"/>
      <c r="L323" s="382"/>
      <c r="M323" s="49" t="s">
        <v>46</v>
      </c>
      <c r="N323" s="380" t="s">
        <v>47</v>
      </c>
      <c r="O323" s="381"/>
      <c r="P323" s="381"/>
      <c r="Q323" s="381"/>
      <c r="R323" s="382"/>
      <c r="S323" s="386">
        <v>0.25</v>
      </c>
      <c r="T323" s="365"/>
      <c r="U323" s="386">
        <v>0.75</v>
      </c>
      <c r="V323" s="366"/>
      <c r="W323" s="365"/>
      <c r="X323" s="1"/>
      <c r="Y323" s="1"/>
      <c r="Z323" s="1"/>
      <c r="AA323" s="1"/>
    </row>
    <row r="324" spans="6:49" x14ac:dyDescent="0.25">
      <c r="H324" s="230" t="s">
        <v>48</v>
      </c>
      <c r="I324" s="380" t="s">
        <v>49</v>
      </c>
      <c r="J324" s="381"/>
      <c r="K324" s="381"/>
      <c r="L324" s="382"/>
      <c r="M324" s="231" t="s">
        <v>50</v>
      </c>
      <c r="N324" s="380" t="s">
        <v>51</v>
      </c>
      <c r="O324" s="381"/>
      <c r="P324" s="381"/>
      <c r="Q324" s="381"/>
      <c r="R324" s="382"/>
      <c r="S324" s="386"/>
      <c r="T324" s="365"/>
      <c r="U324" s="386"/>
      <c r="V324" s="366"/>
      <c r="W324" s="365"/>
      <c r="X324" s="1"/>
      <c r="Y324" s="1"/>
      <c r="Z324" s="1"/>
      <c r="AA324" s="1"/>
    </row>
    <row r="325" spans="6:49" x14ac:dyDescent="0.25">
      <c r="H325" s="230" t="s">
        <v>29</v>
      </c>
      <c r="I325" s="267" t="s">
        <v>52</v>
      </c>
      <c r="J325" s="267"/>
      <c r="K325" s="267"/>
      <c r="L325" s="267"/>
      <c r="M325" s="230" t="s">
        <v>53</v>
      </c>
      <c r="N325" s="267" t="s">
        <v>54</v>
      </c>
      <c r="O325" s="267"/>
      <c r="P325" s="267"/>
      <c r="Q325" s="267"/>
      <c r="R325" s="267"/>
      <c r="S325" s="268">
        <v>0.91666666666666663</v>
      </c>
      <c r="T325" s="269"/>
      <c r="U325" s="268">
        <v>0.25</v>
      </c>
      <c r="V325" s="269"/>
      <c r="W325" s="269"/>
      <c r="X325" s="1"/>
      <c r="Y325" s="1"/>
      <c r="Z325" s="1"/>
      <c r="AA325" s="1"/>
    </row>
    <row r="326" spans="6:49" x14ac:dyDescent="0.25">
      <c r="H326" s="230" t="s">
        <v>28</v>
      </c>
      <c r="I326" s="267" t="s">
        <v>55</v>
      </c>
      <c r="J326" s="267"/>
      <c r="K326" s="267"/>
      <c r="L326" s="267"/>
      <c r="M326" s="230" t="s">
        <v>31</v>
      </c>
      <c r="N326" s="267" t="s">
        <v>129</v>
      </c>
      <c r="O326" s="267"/>
      <c r="P326" s="267"/>
      <c r="Q326" s="267"/>
      <c r="R326" s="267"/>
      <c r="S326" s="269" t="s">
        <v>128</v>
      </c>
      <c r="T326" s="269"/>
      <c r="U326" s="268">
        <v>0.58333333333333337</v>
      </c>
      <c r="V326" s="269"/>
      <c r="W326" s="269"/>
      <c r="X326" s="1"/>
      <c r="Y326" s="1"/>
      <c r="Z326" s="1"/>
      <c r="AA326" s="1"/>
    </row>
    <row r="327" spans="6:49" x14ac:dyDescent="0.25">
      <c r="H327" s="1"/>
      <c r="I327" s="355"/>
      <c r="J327" s="356"/>
      <c r="K327" s="356"/>
      <c r="L327" s="357"/>
      <c r="M327" s="232" t="s">
        <v>31</v>
      </c>
      <c r="N327" s="267" t="s">
        <v>130</v>
      </c>
      <c r="O327" s="267"/>
      <c r="P327" s="267"/>
      <c r="Q327" s="267"/>
      <c r="R327" s="267"/>
      <c r="S327" s="268">
        <v>0.58333333333333337</v>
      </c>
      <c r="T327" s="269"/>
      <c r="U327" s="268">
        <v>0.91666666666666663</v>
      </c>
      <c r="V327" s="269"/>
      <c r="W327" s="269"/>
      <c r="X327" s="1"/>
      <c r="Y327" s="1"/>
      <c r="Z327" s="1"/>
      <c r="AA327" s="1"/>
    </row>
    <row r="328" spans="6:49" x14ac:dyDescent="0.25">
      <c r="I328" s="168"/>
      <c r="J328" s="168"/>
      <c r="K328" s="168"/>
      <c r="L328" s="168"/>
      <c r="N328" s="168"/>
      <c r="O328" s="168"/>
      <c r="P328" s="168"/>
      <c r="Q328" s="168"/>
      <c r="R328" s="168"/>
      <c r="S328" s="169"/>
      <c r="T328" s="169"/>
      <c r="U328" s="169"/>
      <c r="V328" s="169"/>
      <c r="W328" s="169"/>
    </row>
    <row r="329" spans="6:49" x14ac:dyDescent="0.25">
      <c r="I329" s="168"/>
      <c r="J329" s="168"/>
      <c r="K329" s="168"/>
      <c r="L329" s="168"/>
      <c r="N329" s="168"/>
      <c r="O329" s="168"/>
      <c r="P329" s="168"/>
      <c r="Q329" s="168"/>
      <c r="R329" s="168"/>
      <c r="S329" s="169"/>
      <c r="T329" s="169"/>
      <c r="U329" s="169"/>
      <c r="V329" s="169"/>
      <c r="W329" s="169"/>
    </row>
    <row r="330" spans="6:49" x14ac:dyDescent="0.25">
      <c r="I330" s="168"/>
      <c r="J330" s="168"/>
      <c r="K330" s="168"/>
      <c r="L330" s="168"/>
      <c r="N330" s="168"/>
      <c r="O330" s="168"/>
      <c r="P330" s="168"/>
      <c r="Q330" s="168"/>
      <c r="R330" s="168"/>
      <c r="S330" s="169"/>
      <c r="T330" s="169"/>
      <c r="U330" s="169"/>
      <c r="V330" s="169"/>
      <c r="W330" s="169"/>
    </row>
    <row r="331" spans="6:49" x14ac:dyDescent="0.25">
      <c r="I331" s="168"/>
      <c r="J331" s="168"/>
      <c r="K331" s="168"/>
      <c r="L331" s="168"/>
      <c r="N331" s="168"/>
      <c r="O331" s="168"/>
      <c r="P331" s="168"/>
      <c r="Q331" s="168"/>
      <c r="R331" s="168"/>
      <c r="S331" s="169"/>
      <c r="T331" s="169"/>
      <c r="U331" s="169"/>
      <c r="V331" s="169"/>
      <c r="W331" s="169"/>
    </row>
    <row r="332" spans="6:49" ht="15" customHeight="1" x14ac:dyDescent="0.25">
      <c r="F332" s="283" t="s">
        <v>114</v>
      </c>
      <c r="G332" s="284"/>
      <c r="H332" s="309" t="s">
        <v>1</v>
      </c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  <c r="AH332" s="311"/>
      <c r="AI332" s="289" t="s">
        <v>2</v>
      </c>
      <c r="AJ332" s="289"/>
      <c r="AK332" s="289"/>
      <c r="AL332" s="289"/>
      <c r="AM332" s="289"/>
      <c r="AN332" s="289"/>
      <c r="AO332" s="3"/>
      <c r="AP332" s="3"/>
      <c r="AQ332" s="3"/>
    </row>
    <row r="333" spans="6:49" ht="15" customHeight="1" x14ac:dyDescent="0.25">
      <c r="F333" s="285"/>
      <c r="G333" s="286"/>
      <c r="H333" s="343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  <c r="AA333" s="344"/>
      <c r="AB333" s="344"/>
      <c r="AC333" s="344"/>
      <c r="AD333" s="344"/>
      <c r="AE333" s="344"/>
      <c r="AF333" s="344"/>
      <c r="AG333" s="344"/>
      <c r="AH333" s="345"/>
      <c r="AI333" s="289"/>
      <c r="AJ333" s="289"/>
      <c r="AK333" s="289"/>
      <c r="AL333" s="289"/>
      <c r="AM333" s="289"/>
      <c r="AN333" s="289"/>
      <c r="AO333" s="3"/>
      <c r="AP333" s="3"/>
      <c r="AQ333" s="3"/>
    </row>
    <row r="334" spans="6:49" ht="15" customHeight="1" x14ac:dyDescent="0.25">
      <c r="F334" s="287"/>
      <c r="G334" s="288"/>
      <c r="H334" s="307" t="s">
        <v>3</v>
      </c>
      <c r="I334" s="290"/>
      <c r="J334" s="290"/>
      <c r="K334" s="291" t="s">
        <v>4</v>
      </c>
      <c r="L334" s="291"/>
      <c r="M334" s="291"/>
      <c r="N334" s="291"/>
      <c r="O334" s="291"/>
      <c r="P334" s="291"/>
      <c r="Q334" s="291"/>
      <c r="R334" s="291"/>
      <c r="S334" s="291"/>
      <c r="T334" s="291"/>
      <c r="U334" s="291"/>
      <c r="V334" s="291"/>
      <c r="W334" s="291"/>
      <c r="X334" s="291"/>
      <c r="Y334" s="291"/>
      <c r="Z334" s="291"/>
      <c r="AA334" s="291"/>
      <c r="AB334" s="291"/>
      <c r="AC334" s="291"/>
      <c r="AD334" s="291"/>
      <c r="AE334" s="291"/>
      <c r="AF334" s="291"/>
      <c r="AG334" s="291"/>
      <c r="AH334" s="292"/>
      <c r="AI334" s="289" t="s">
        <v>5</v>
      </c>
      <c r="AJ334" s="289"/>
      <c r="AK334" s="289"/>
      <c r="AL334" s="289"/>
      <c r="AM334" s="289"/>
      <c r="AN334" s="289"/>
      <c r="AO334" s="3"/>
      <c r="AP334" s="3"/>
      <c r="AQ334" s="3"/>
      <c r="AR334" s="4"/>
      <c r="AS334" s="4"/>
      <c r="AT334" s="4"/>
      <c r="AU334" s="4"/>
      <c r="AV334" s="4"/>
      <c r="AW334" s="4"/>
    </row>
    <row r="335" spans="6:49" ht="15" customHeight="1" x14ac:dyDescent="0.25">
      <c r="F335" s="283"/>
      <c r="G335" s="284"/>
      <c r="H335" s="5" t="s">
        <v>6</v>
      </c>
      <c r="I335" s="6"/>
      <c r="J335" s="6"/>
      <c r="K335" s="291" t="s">
        <v>7</v>
      </c>
      <c r="L335" s="291"/>
      <c r="M335" s="291"/>
      <c r="N335" s="291"/>
      <c r="O335" s="291"/>
      <c r="P335" s="291"/>
      <c r="Q335" s="291"/>
      <c r="R335" s="291"/>
      <c r="S335" s="291"/>
      <c r="T335" s="291"/>
      <c r="U335" s="291"/>
      <c r="V335" s="291"/>
      <c r="W335" s="291"/>
      <c r="X335" s="291"/>
      <c r="Y335" s="291"/>
      <c r="Z335" s="291"/>
      <c r="AA335" s="291"/>
      <c r="AB335" s="291"/>
      <c r="AC335" s="291"/>
      <c r="AD335" s="291"/>
      <c r="AE335" s="291"/>
      <c r="AF335" s="291"/>
      <c r="AG335" s="291"/>
      <c r="AH335" s="292"/>
      <c r="AI335" s="289"/>
      <c r="AJ335" s="289"/>
      <c r="AK335" s="289"/>
      <c r="AL335" s="289"/>
      <c r="AM335" s="289"/>
      <c r="AN335" s="289"/>
      <c r="AO335" s="3"/>
      <c r="AP335" s="3"/>
      <c r="AQ335" s="3"/>
      <c r="AR335" s="4"/>
      <c r="AS335" s="4"/>
      <c r="AT335" s="4"/>
      <c r="AU335" s="4"/>
      <c r="AV335" s="4"/>
      <c r="AW335" s="4"/>
    </row>
    <row r="336" spans="6:49" ht="15" customHeight="1" x14ac:dyDescent="0.25">
      <c r="F336" s="285"/>
      <c r="G336" s="286"/>
      <c r="H336" s="307" t="s">
        <v>8</v>
      </c>
      <c r="I336" s="290"/>
      <c r="J336" s="290"/>
      <c r="K336" s="291" t="s">
        <v>9</v>
      </c>
      <c r="L336" s="291"/>
      <c r="M336" s="291"/>
      <c r="N336" s="291"/>
      <c r="O336" s="291"/>
      <c r="P336" s="291"/>
      <c r="Q336" s="291"/>
      <c r="R336" s="291"/>
      <c r="S336" s="291"/>
      <c r="T336" s="291"/>
      <c r="U336" s="291"/>
      <c r="V336" s="291"/>
      <c r="W336" s="291"/>
      <c r="X336" s="291"/>
      <c r="Y336" s="291"/>
      <c r="Z336" s="291"/>
      <c r="AA336" s="291"/>
      <c r="AB336" s="291"/>
      <c r="AC336" s="291"/>
      <c r="AD336" s="291"/>
      <c r="AE336" s="291"/>
      <c r="AF336" s="291"/>
      <c r="AG336" s="291"/>
      <c r="AH336" s="292"/>
      <c r="AI336" s="289" t="s">
        <v>10</v>
      </c>
      <c r="AJ336" s="289"/>
      <c r="AK336" s="289"/>
      <c r="AL336" s="289"/>
      <c r="AM336" s="289"/>
      <c r="AN336" s="289"/>
      <c r="AO336" s="3"/>
      <c r="AP336" s="3"/>
      <c r="AQ336" s="3"/>
      <c r="AR336" s="4"/>
      <c r="AS336" s="4"/>
      <c r="AT336" s="4"/>
      <c r="AU336" s="4"/>
      <c r="AV336" s="4"/>
      <c r="AW336" s="4"/>
    </row>
    <row r="337" spans="1:49" ht="15" customHeight="1" x14ac:dyDescent="0.25">
      <c r="F337" s="287"/>
      <c r="G337" s="288"/>
      <c r="H337" s="308" t="s">
        <v>11</v>
      </c>
      <c r="I337" s="293"/>
      <c r="J337" s="293"/>
      <c r="K337" s="294" t="s">
        <v>12</v>
      </c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  <c r="AC337" s="294"/>
      <c r="AD337" s="294"/>
      <c r="AE337" s="294"/>
      <c r="AF337" s="294"/>
      <c r="AG337" s="294"/>
      <c r="AH337" s="295"/>
      <c r="AI337" s="289"/>
      <c r="AJ337" s="289"/>
      <c r="AK337" s="289"/>
      <c r="AL337" s="289"/>
      <c r="AM337" s="289"/>
      <c r="AN337" s="289"/>
      <c r="AO337" s="2"/>
      <c r="AP337" s="2"/>
      <c r="AQ337" s="2"/>
      <c r="AR337" s="4"/>
      <c r="AS337" s="4"/>
      <c r="AT337" s="4"/>
      <c r="AU337" s="4"/>
      <c r="AV337" s="4"/>
      <c r="AW337" s="4"/>
    </row>
    <row r="338" spans="1:49" ht="18.75" x14ac:dyDescent="0.25">
      <c r="A338" s="7" t="s">
        <v>15</v>
      </c>
      <c r="B338" s="8" t="s">
        <v>16</v>
      </c>
      <c r="C338" s="9" t="s">
        <v>17</v>
      </c>
      <c r="D338" s="9" t="s">
        <v>18</v>
      </c>
      <c r="E338" s="9" t="s">
        <v>19</v>
      </c>
      <c r="F338" s="10" t="s">
        <v>20</v>
      </c>
      <c r="G338" s="7" t="s">
        <v>21</v>
      </c>
      <c r="H338" s="7" t="s">
        <v>22</v>
      </c>
      <c r="I338" s="7" t="s">
        <v>23</v>
      </c>
      <c r="J338" s="247" t="s">
        <v>132</v>
      </c>
      <c r="K338" s="247" t="s">
        <v>133</v>
      </c>
      <c r="L338" s="247" t="s">
        <v>134</v>
      </c>
      <c r="M338" s="247" t="s">
        <v>135</v>
      </c>
      <c r="N338" s="247" t="s">
        <v>136</v>
      </c>
      <c r="O338" s="247" t="s">
        <v>137</v>
      </c>
      <c r="P338" s="155" t="s">
        <v>138</v>
      </c>
      <c r="Q338" s="155" t="s">
        <v>139</v>
      </c>
      <c r="R338" s="247" t="s">
        <v>140</v>
      </c>
      <c r="S338" s="247" t="s">
        <v>141</v>
      </c>
      <c r="T338" s="247" t="s">
        <v>142</v>
      </c>
      <c r="U338" s="247" t="s">
        <v>143</v>
      </c>
      <c r="V338" s="247" t="s">
        <v>144</v>
      </c>
      <c r="W338" s="155" t="s">
        <v>145</v>
      </c>
      <c r="X338" s="155" t="s">
        <v>146</v>
      </c>
      <c r="Y338" s="247" t="s">
        <v>147</v>
      </c>
      <c r="Z338" s="247" t="s">
        <v>148</v>
      </c>
      <c r="AA338" s="247" t="s">
        <v>149</v>
      </c>
      <c r="AB338" s="247" t="s">
        <v>150</v>
      </c>
      <c r="AC338" s="247" t="s">
        <v>151</v>
      </c>
      <c r="AD338" s="155" t="s">
        <v>152</v>
      </c>
      <c r="AE338" s="247" t="s">
        <v>153</v>
      </c>
      <c r="AF338" s="247" t="s">
        <v>154</v>
      </c>
      <c r="AG338" s="247" t="s">
        <v>155</v>
      </c>
      <c r="AH338" s="248" t="s">
        <v>156</v>
      </c>
      <c r="AI338" s="247" t="s">
        <v>157</v>
      </c>
      <c r="AJ338" s="247" t="s">
        <v>158</v>
      </c>
      <c r="AK338" s="155" t="s">
        <v>159</v>
      </c>
      <c r="AL338" s="155" t="s">
        <v>160</v>
      </c>
      <c r="AM338" s="247" t="s">
        <v>161</v>
      </c>
      <c r="AN338" s="249" t="s">
        <v>162</v>
      </c>
      <c r="AO338" s="11" t="s">
        <v>24</v>
      </c>
      <c r="AP338" s="11" t="s">
        <v>25</v>
      </c>
      <c r="AQ338" s="11" t="s">
        <v>26</v>
      </c>
      <c r="AR338" s="4"/>
      <c r="AS338" s="4"/>
      <c r="AT338" s="4"/>
      <c r="AU338" s="4"/>
      <c r="AV338" s="4"/>
      <c r="AW338" s="4"/>
    </row>
    <row r="339" spans="1:49" x14ac:dyDescent="0.25">
      <c r="H339" s="15">
        <v>2026</v>
      </c>
      <c r="I339" s="15" t="s">
        <v>163</v>
      </c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16">
        <f>COUNTIF(Tabla13234428[[#This Row],[1L]:[Columna1]],"D12")</f>
        <v>0</v>
      </c>
      <c r="AP339" s="17">
        <f>COUNTIF(Tabla13234428[[#This Row],[1L]:[Columna1]],"N12")</f>
        <v>0</v>
      </c>
      <c r="AQ339" s="18">
        <f>COUNTBLANK(Tabla13234428[[#This Row],[1L]:[Columna1]])</f>
        <v>31</v>
      </c>
      <c r="AR339" s="300" t="s">
        <v>13</v>
      </c>
      <c r="AS339" s="300"/>
      <c r="AT339" s="300" t="s">
        <v>14</v>
      </c>
      <c r="AU339" s="300"/>
      <c r="AV339" s="300"/>
      <c r="AW339" s="4"/>
    </row>
    <row r="340" spans="1:49" x14ac:dyDescent="0.25">
      <c r="F340" s="31">
        <v>98618807</v>
      </c>
      <c r="G340" s="31" t="s">
        <v>119</v>
      </c>
      <c r="H340" s="15">
        <v>2026</v>
      </c>
      <c r="I340" s="15" t="s">
        <v>163</v>
      </c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  <c r="AK340" s="166"/>
      <c r="AL340" s="166"/>
      <c r="AM340" s="166"/>
      <c r="AN340" s="166"/>
      <c r="AO340" s="17">
        <f>COUNTIF(Tabla13234428[[#This Row],[1L]:[Columna1]],"D12")</f>
        <v>0</v>
      </c>
      <c r="AP340" s="17">
        <f>COUNTIF(Tabla13234428[[#This Row],[1L]:[Columna1]],"N12")</f>
        <v>0</v>
      </c>
      <c r="AQ340" s="18">
        <f>COUNTBLANK(Tabla13234428[[#This Row],[1L]:[Columna1]])</f>
        <v>31</v>
      </c>
      <c r="AR340" s="104"/>
      <c r="AS340" s="105"/>
      <c r="AT340" s="104"/>
      <c r="AU340" s="106"/>
      <c r="AV340" s="105"/>
      <c r="AW340" s="4"/>
    </row>
    <row r="341" spans="1:49" x14ac:dyDescent="0.25">
      <c r="F341" s="205">
        <v>1030420489</v>
      </c>
      <c r="G341" s="204" t="s">
        <v>131</v>
      </c>
      <c r="H341" s="15">
        <v>2026</v>
      </c>
      <c r="I341" s="15" t="s">
        <v>163</v>
      </c>
      <c r="J341" s="195" t="s">
        <v>105</v>
      </c>
      <c r="K341" s="195" t="s">
        <v>105</v>
      </c>
      <c r="L341" s="195" t="s">
        <v>105</v>
      </c>
      <c r="M341" s="195" t="s">
        <v>105</v>
      </c>
      <c r="N341" s="195" t="s">
        <v>105</v>
      </c>
      <c r="O341" s="195" t="s">
        <v>105</v>
      </c>
      <c r="P341" s="195" t="s">
        <v>105</v>
      </c>
      <c r="Q341" s="195" t="s">
        <v>105</v>
      </c>
      <c r="R341" s="195" t="s">
        <v>105</v>
      </c>
      <c r="S341" s="195" t="s">
        <v>105</v>
      </c>
      <c r="T341" s="195" t="s">
        <v>105</v>
      </c>
      <c r="U341" s="195" t="s">
        <v>105</v>
      </c>
      <c r="V341" s="195" t="s">
        <v>105</v>
      </c>
      <c r="W341" s="195" t="s">
        <v>105</v>
      </c>
      <c r="X341" s="195" t="s">
        <v>105</v>
      </c>
      <c r="Y341" s="195" t="s">
        <v>105</v>
      </c>
      <c r="Z341" s="195" t="s">
        <v>105</v>
      </c>
      <c r="AA341" s="195" t="s">
        <v>105</v>
      </c>
      <c r="AB341" s="195" t="s">
        <v>105</v>
      </c>
      <c r="AC341" s="195" t="s">
        <v>105</v>
      </c>
      <c r="AD341" s="195" t="s">
        <v>105</v>
      </c>
      <c r="AE341" s="195" t="s">
        <v>105</v>
      </c>
      <c r="AF341" s="195" t="s">
        <v>105</v>
      </c>
      <c r="AG341" s="195" t="s">
        <v>105</v>
      </c>
      <c r="AH341" s="195" t="s">
        <v>105</v>
      </c>
      <c r="AI341" s="195" t="s">
        <v>105</v>
      </c>
      <c r="AJ341" s="195" t="s">
        <v>105</v>
      </c>
      <c r="AK341" s="195" t="s">
        <v>105</v>
      </c>
      <c r="AL341" s="195" t="s">
        <v>105</v>
      </c>
      <c r="AM341" s="195" t="s">
        <v>105</v>
      </c>
      <c r="AN341" s="166"/>
      <c r="AO341" s="17">
        <f>COUNTIF(Tabla13234428[[#This Row],[1L]:[Columna1]],"D12")</f>
        <v>0</v>
      </c>
      <c r="AP341" s="17">
        <f>COUNTIF(Tabla13234428[[#This Row],[1L]:[Columna1]],"N12")</f>
        <v>0</v>
      </c>
      <c r="AQ341" s="18">
        <f>COUNTBLANK(Tabla13234428[[#This Row],[1L]:[Columna1]])</f>
        <v>1</v>
      </c>
      <c r="AR341" s="104"/>
      <c r="AS341" s="105"/>
      <c r="AT341" s="104"/>
      <c r="AU341" s="106"/>
      <c r="AV341" s="105"/>
      <c r="AW341" s="4"/>
    </row>
    <row r="342" spans="1:49" x14ac:dyDescent="0.25">
      <c r="F342" s="126">
        <v>1033374378</v>
      </c>
      <c r="G342" s="212" t="s">
        <v>89</v>
      </c>
      <c r="H342" s="15">
        <v>2026</v>
      </c>
      <c r="I342" s="15" t="s">
        <v>163</v>
      </c>
      <c r="J342" s="166" t="s">
        <v>28</v>
      </c>
      <c r="K342" s="167" t="s">
        <v>28</v>
      </c>
      <c r="L342" s="166" t="s">
        <v>28</v>
      </c>
      <c r="M342" s="167" t="s">
        <v>28</v>
      </c>
      <c r="N342" s="167" t="s">
        <v>28</v>
      </c>
      <c r="O342" s="167" t="s">
        <v>28</v>
      </c>
      <c r="P342" s="167" t="s">
        <v>29</v>
      </c>
      <c r="Q342" s="167" t="s">
        <v>29</v>
      </c>
      <c r="R342" s="167" t="s">
        <v>29</v>
      </c>
      <c r="S342" s="164"/>
      <c r="T342" s="167" t="s">
        <v>28</v>
      </c>
      <c r="U342" s="166" t="s">
        <v>28</v>
      </c>
      <c r="V342" s="167" t="s">
        <v>28</v>
      </c>
      <c r="W342" s="167" t="s">
        <v>28</v>
      </c>
      <c r="X342" s="167" t="s">
        <v>28</v>
      </c>
      <c r="Y342" s="190" t="s">
        <v>48</v>
      </c>
      <c r="Z342" s="98" t="s">
        <v>31</v>
      </c>
      <c r="AA342" s="98" t="s">
        <v>31</v>
      </c>
      <c r="AB342" s="167" t="s">
        <v>28</v>
      </c>
      <c r="AC342" s="166" t="s">
        <v>29</v>
      </c>
      <c r="AD342" s="166" t="s">
        <v>29</v>
      </c>
      <c r="AE342" s="164"/>
      <c r="AF342" s="164"/>
      <c r="AG342" s="161" t="s">
        <v>48</v>
      </c>
      <c r="AH342" s="167" t="s">
        <v>29</v>
      </c>
      <c r="AI342" s="167" t="s">
        <v>29</v>
      </c>
      <c r="AJ342" s="167" t="s">
        <v>29</v>
      </c>
      <c r="AK342" s="167" t="s">
        <v>29</v>
      </c>
      <c r="AL342" s="95" t="s">
        <v>29</v>
      </c>
      <c r="AM342" s="167" t="s">
        <v>29</v>
      </c>
      <c r="AN342" s="166"/>
      <c r="AO342" s="17">
        <f>COUNTIF(Tabla13234428[[#This Row],[1L]:[Columna1]],"D12")</f>
        <v>12</v>
      </c>
      <c r="AP342" s="17">
        <f>COUNTIF(Tabla13234428[[#This Row],[1L]:[Columna1]],"N12")</f>
        <v>11</v>
      </c>
      <c r="AQ342" s="18">
        <f>COUNTBLANK(Tabla13234428[[#This Row],[1L]:[Columna1]])</f>
        <v>4</v>
      </c>
      <c r="AR342" s="104"/>
      <c r="AS342" s="105"/>
      <c r="AT342" s="104"/>
      <c r="AU342" s="106"/>
      <c r="AV342" s="105"/>
      <c r="AW342" s="4"/>
    </row>
    <row r="343" spans="1:49" x14ac:dyDescent="0.25">
      <c r="F343" s="205"/>
      <c r="G343" s="204"/>
      <c r="H343" s="15">
        <v>2026</v>
      </c>
      <c r="I343" s="15" t="s">
        <v>163</v>
      </c>
      <c r="J343" s="195" t="s">
        <v>105</v>
      </c>
      <c r="K343" s="195" t="s">
        <v>105</v>
      </c>
      <c r="L343" s="195" t="s">
        <v>105</v>
      </c>
      <c r="M343" s="195" t="s">
        <v>105</v>
      </c>
      <c r="N343" s="195" t="s">
        <v>105</v>
      </c>
      <c r="O343" s="195" t="s">
        <v>105</v>
      </c>
      <c r="P343" s="195" t="s">
        <v>105</v>
      </c>
      <c r="Q343" s="195" t="s">
        <v>105</v>
      </c>
      <c r="R343" s="195" t="s">
        <v>105</v>
      </c>
      <c r="S343" s="195" t="s">
        <v>105</v>
      </c>
      <c r="T343" s="195" t="s">
        <v>105</v>
      </c>
      <c r="U343" s="195" t="s">
        <v>105</v>
      </c>
      <c r="V343" s="195" t="s">
        <v>105</v>
      </c>
      <c r="W343" s="195" t="s">
        <v>105</v>
      </c>
      <c r="X343" s="195" t="s">
        <v>105</v>
      </c>
      <c r="Y343" s="195" t="s">
        <v>105</v>
      </c>
      <c r="Z343" s="195" t="s">
        <v>105</v>
      </c>
      <c r="AA343" s="195" t="s">
        <v>105</v>
      </c>
      <c r="AB343" s="195" t="s">
        <v>105</v>
      </c>
      <c r="AC343" s="195" t="s">
        <v>105</v>
      </c>
      <c r="AD343" s="195" t="s">
        <v>105</v>
      </c>
      <c r="AE343" s="195" t="s">
        <v>105</v>
      </c>
      <c r="AF343" s="195" t="s">
        <v>105</v>
      </c>
      <c r="AG343" s="195" t="s">
        <v>105</v>
      </c>
      <c r="AH343" s="195" t="s">
        <v>105</v>
      </c>
      <c r="AI343" s="195" t="s">
        <v>105</v>
      </c>
      <c r="AJ343" s="195" t="s">
        <v>105</v>
      </c>
      <c r="AK343" s="195" t="s">
        <v>105</v>
      </c>
      <c r="AL343" s="195" t="s">
        <v>105</v>
      </c>
      <c r="AM343" s="195" t="s">
        <v>105</v>
      </c>
      <c r="AN343" s="166"/>
      <c r="AO343" s="17">
        <f>COUNTIF(Tabla13234428[[#This Row],[1L]:[Columna1]],"D12")</f>
        <v>0</v>
      </c>
      <c r="AP343" s="17">
        <f>COUNTIF(Tabla13234428[[#This Row],[1L]:[Columna1]],"N12")</f>
        <v>0</v>
      </c>
      <c r="AQ343" s="18">
        <f>COUNTBLANK(Tabla13234428[[#This Row],[1L]:[Columna1]])</f>
        <v>1</v>
      </c>
      <c r="AR343" s="104"/>
      <c r="AS343" s="105"/>
      <c r="AT343" s="104"/>
      <c r="AU343" s="106"/>
      <c r="AV343" s="105"/>
      <c r="AW343" s="4"/>
    </row>
    <row r="344" spans="1:49" x14ac:dyDescent="0.25">
      <c r="F344" s="31">
        <v>1041150055</v>
      </c>
      <c r="G344" s="31" t="s">
        <v>110</v>
      </c>
      <c r="H344" s="15">
        <v>2026</v>
      </c>
      <c r="I344" s="15" t="s">
        <v>163</v>
      </c>
      <c r="J344" s="163" t="s">
        <v>29</v>
      </c>
      <c r="K344" s="163" t="s">
        <v>29</v>
      </c>
      <c r="L344" s="163" t="s">
        <v>29</v>
      </c>
      <c r="M344" s="163" t="s">
        <v>29</v>
      </c>
      <c r="N344" s="161"/>
      <c r="O344" s="161"/>
      <c r="P344" s="161" t="s">
        <v>48</v>
      </c>
      <c r="Q344" s="163" t="s">
        <v>28</v>
      </c>
      <c r="R344" s="163" t="s">
        <v>28</v>
      </c>
      <c r="S344" s="163" t="s">
        <v>28</v>
      </c>
      <c r="T344" s="163" t="s">
        <v>28</v>
      </c>
      <c r="U344" s="163" t="s">
        <v>28</v>
      </c>
      <c r="V344" s="163" t="s">
        <v>28</v>
      </c>
      <c r="W344" s="163" t="s">
        <v>29</v>
      </c>
      <c r="X344" s="163" t="s">
        <v>29</v>
      </c>
      <c r="Y344" s="163" t="s">
        <v>29</v>
      </c>
      <c r="Z344" s="163" t="s">
        <v>29</v>
      </c>
      <c r="AA344" s="163" t="s">
        <v>29</v>
      </c>
      <c r="AB344" s="163" t="s">
        <v>29</v>
      </c>
      <c r="AC344" s="161"/>
      <c r="AD344" s="161"/>
      <c r="AE344" s="161" t="s">
        <v>48</v>
      </c>
      <c r="AF344" s="163" t="s">
        <v>28</v>
      </c>
      <c r="AG344" s="163" t="s">
        <v>28</v>
      </c>
      <c r="AH344" s="163" t="s">
        <v>28</v>
      </c>
      <c r="AI344" s="163" t="s">
        <v>28</v>
      </c>
      <c r="AJ344" s="163" t="s">
        <v>28</v>
      </c>
      <c r="AK344" s="163" t="s">
        <v>28</v>
      </c>
      <c r="AL344" s="163" t="s">
        <v>29</v>
      </c>
      <c r="AM344" s="163" t="s">
        <v>29</v>
      </c>
      <c r="AN344" s="166"/>
      <c r="AO344" s="17">
        <f>COUNTIF(Tabla13234428[[#This Row],[1L]:[Columna1]],"D12")</f>
        <v>12</v>
      </c>
      <c r="AP344" s="17">
        <f>COUNTIF(Tabla13234428[[#This Row],[1L]:[Columna1]],"N12")</f>
        <v>12</v>
      </c>
      <c r="AQ344" s="18">
        <f>COUNTBLANK(Tabla13234428[[#This Row],[1L]:[Columna1]])</f>
        <v>5</v>
      </c>
      <c r="AR344" s="104"/>
      <c r="AS344" s="105"/>
      <c r="AT344" s="104"/>
      <c r="AU344" s="106"/>
      <c r="AV344" s="105"/>
      <c r="AW344" s="4"/>
    </row>
    <row r="345" spans="1:49" x14ac:dyDescent="0.25">
      <c r="F345" s="31">
        <v>1090577263</v>
      </c>
      <c r="G345" s="31" t="s">
        <v>111</v>
      </c>
      <c r="H345" s="15">
        <v>2026</v>
      </c>
      <c r="I345" s="15" t="s">
        <v>163</v>
      </c>
      <c r="J345" s="161" t="s">
        <v>48</v>
      </c>
      <c r="K345" s="166" t="s">
        <v>28</v>
      </c>
      <c r="L345" s="166" t="s">
        <v>28</v>
      </c>
      <c r="M345" s="166" t="s">
        <v>28</v>
      </c>
      <c r="N345" s="166" t="s">
        <v>28</v>
      </c>
      <c r="O345" s="166" t="s">
        <v>28</v>
      </c>
      <c r="P345" s="166" t="s">
        <v>28</v>
      </c>
      <c r="Q345" s="166" t="s">
        <v>29</v>
      </c>
      <c r="R345" s="166" t="s">
        <v>29</v>
      </c>
      <c r="S345" s="166" t="s">
        <v>29</v>
      </c>
      <c r="T345" s="166" t="s">
        <v>29</v>
      </c>
      <c r="U345" s="166" t="s">
        <v>29</v>
      </c>
      <c r="V345" s="166" t="s">
        <v>29</v>
      </c>
      <c r="W345" s="164"/>
      <c r="X345" s="164"/>
      <c r="Y345" s="161" t="s">
        <v>48</v>
      </c>
      <c r="Z345" s="166" t="s">
        <v>28</v>
      </c>
      <c r="AA345" s="166" t="s">
        <v>28</v>
      </c>
      <c r="AB345" s="166" t="s">
        <v>28</v>
      </c>
      <c r="AC345" s="166" t="s">
        <v>28</v>
      </c>
      <c r="AD345" s="166" t="s">
        <v>28</v>
      </c>
      <c r="AE345" s="166" t="s">
        <v>28</v>
      </c>
      <c r="AF345" s="166" t="s">
        <v>29</v>
      </c>
      <c r="AG345" s="166" t="s">
        <v>29</v>
      </c>
      <c r="AH345" s="166" t="s">
        <v>29</v>
      </c>
      <c r="AI345" s="166" t="s">
        <v>29</v>
      </c>
      <c r="AJ345" s="166" t="s">
        <v>29</v>
      </c>
      <c r="AK345" s="166" t="s">
        <v>29</v>
      </c>
      <c r="AL345" s="164"/>
      <c r="AM345" s="164"/>
      <c r="AN345" s="166"/>
      <c r="AO345" s="17">
        <f>COUNTIF(Tabla13234428[[#This Row],[1L]:[Columna1]],"D12")</f>
        <v>12</v>
      </c>
      <c r="AP345" s="17">
        <f>COUNTIF(Tabla13234428[[#This Row],[1L]:[Columna1]],"N12")</f>
        <v>12</v>
      </c>
      <c r="AQ345" s="18">
        <f>COUNTBLANK(Tabla13234428[[#This Row],[1L]:[Columna1]])</f>
        <v>5</v>
      </c>
      <c r="AR345" s="104"/>
      <c r="AS345" s="105"/>
      <c r="AT345" s="104"/>
      <c r="AU345" s="106"/>
      <c r="AV345" s="105"/>
      <c r="AW345" s="4"/>
    </row>
    <row r="346" spans="1:49" x14ac:dyDescent="0.25">
      <c r="F346" s="173">
        <v>71187380</v>
      </c>
      <c r="G346" s="174" t="s">
        <v>124</v>
      </c>
      <c r="H346" s="15">
        <v>2026</v>
      </c>
      <c r="I346" s="15" t="s">
        <v>163</v>
      </c>
      <c r="J346" s="225" t="s">
        <v>29</v>
      </c>
      <c r="K346" s="225" t="s">
        <v>29</v>
      </c>
      <c r="L346" s="225" t="s">
        <v>29</v>
      </c>
      <c r="M346" s="167" t="s">
        <v>31</v>
      </c>
      <c r="N346" s="167" t="s">
        <v>31</v>
      </c>
      <c r="O346" s="225" t="s">
        <v>28</v>
      </c>
      <c r="P346" s="225" t="s">
        <v>28</v>
      </c>
      <c r="Q346" s="225" t="s">
        <v>28</v>
      </c>
      <c r="R346" s="164"/>
      <c r="S346" s="164"/>
      <c r="T346" s="98" t="s">
        <v>31</v>
      </c>
      <c r="U346" s="98" t="s">
        <v>31</v>
      </c>
      <c r="V346" s="225" t="s">
        <v>28</v>
      </c>
      <c r="W346" s="225" t="s">
        <v>28</v>
      </c>
      <c r="X346" s="225" t="s">
        <v>28</v>
      </c>
      <c r="Y346" s="225" t="s">
        <v>29</v>
      </c>
      <c r="Z346" s="225" t="s">
        <v>29</v>
      </c>
      <c r="AA346" s="225" t="s">
        <v>29</v>
      </c>
      <c r="AB346" s="167" t="s">
        <v>31</v>
      </c>
      <c r="AC346" s="225" t="s">
        <v>28</v>
      </c>
      <c r="AD346" s="225" t="s">
        <v>28</v>
      </c>
      <c r="AE346" s="164"/>
      <c r="AF346" s="164"/>
      <c r="AG346" s="98" t="s">
        <v>31</v>
      </c>
      <c r="AH346" s="98" t="s">
        <v>31</v>
      </c>
      <c r="AI346" s="167" t="s">
        <v>31</v>
      </c>
      <c r="AJ346" s="225" t="s">
        <v>28</v>
      </c>
      <c r="AK346" s="225" t="s">
        <v>28</v>
      </c>
      <c r="AL346" s="225" t="s">
        <v>28</v>
      </c>
      <c r="AM346" s="167" t="s">
        <v>31</v>
      </c>
      <c r="AN346" s="225"/>
      <c r="AO346" s="17">
        <f>COUNTIF(Tabla13234428[[#This Row],[1L]:[Columna1]],"D12")</f>
        <v>11</v>
      </c>
      <c r="AP346" s="17">
        <f>COUNTIF(Tabla13234428[[#This Row],[1L]:[Columna1]],"N12")</f>
        <v>6</v>
      </c>
      <c r="AQ346" s="18">
        <f>COUNTBLANK(Tabla13234428[[#This Row],[1L]:[Columna1]])</f>
        <v>5</v>
      </c>
      <c r="AR346" s="104"/>
      <c r="AS346" s="105"/>
      <c r="AT346" s="104"/>
      <c r="AU346" s="106"/>
      <c r="AV346" s="105"/>
      <c r="AW346" s="4"/>
    </row>
    <row r="347" spans="1:49" x14ac:dyDescent="0.25">
      <c r="F347" s="178">
        <v>98499486</v>
      </c>
      <c r="G347" s="245" t="s">
        <v>77</v>
      </c>
      <c r="H347" s="15">
        <v>2026</v>
      </c>
      <c r="I347" s="15" t="s">
        <v>163</v>
      </c>
      <c r="J347" s="98" t="s">
        <v>31</v>
      </c>
      <c r="K347" s="98" t="s">
        <v>31</v>
      </c>
      <c r="L347" s="161"/>
      <c r="M347" s="98" t="s">
        <v>31</v>
      </c>
      <c r="N347" s="98" t="s">
        <v>31</v>
      </c>
      <c r="O347" s="98" t="s">
        <v>31</v>
      </c>
      <c r="P347" s="167" t="s">
        <v>31</v>
      </c>
      <c r="Q347" s="166" t="s">
        <v>29</v>
      </c>
      <c r="R347" s="166" t="s">
        <v>29</v>
      </c>
      <c r="S347" s="161"/>
      <c r="T347" s="98" t="s">
        <v>31</v>
      </c>
      <c r="U347" s="98" t="s">
        <v>31</v>
      </c>
      <c r="V347" s="161" t="s">
        <v>48</v>
      </c>
      <c r="W347" s="98" t="s">
        <v>31</v>
      </c>
      <c r="X347" s="98" t="s">
        <v>31</v>
      </c>
      <c r="Y347" s="98" t="s">
        <v>31</v>
      </c>
      <c r="Z347" s="164"/>
      <c r="AA347" s="98" t="s">
        <v>31</v>
      </c>
      <c r="AB347" s="98" t="s">
        <v>31</v>
      </c>
      <c r="AC347" s="98" t="s">
        <v>31</v>
      </c>
      <c r="AD347" s="98" t="s">
        <v>31</v>
      </c>
      <c r="AE347" s="195" t="s">
        <v>105</v>
      </c>
      <c r="AF347" s="195" t="s">
        <v>105</v>
      </c>
      <c r="AG347" s="195" t="s">
        <v>105</v>
      </c>
      <c r="AH347" s="195" t="s">
        <v>105</v>
      </c>
      <c r="AI347" s="195" t="s">
        <v>105</v>
      </c>
      <c r="AJ347" s="195" t="s">
        <v>105</v>
      </c>
      <c r="AK347" s="195" t="s">
        <v>105</v>
      </c>
      <c r="AL347" s="195" t="s">
        <v>105</v>
      </c>
      <c r="AM347" s="195" t="s">
        <v>105</v>
      </c>
      <c r="AN347" s="166"/>
      <c r="AO347" s="17">
        <f>COUNTIF(Tabla13234428[[#This Row],[1L]:[Columna1]],"D12")</f>
        <v>0</v>
      </c>
      <c r="AP347" s="17">
        <f>COUNTIF(Tabla13234428[[#This Row],[1L]:[Columna1]],"N12")</f>
        <v>2</v>
      </c>
      <c r="AQ347" s="18">
        <f>COUNTBLANK(Tabla13234428[[#This Row],[1L]:[Columna1]])</f>
        <v>4</v>
      </c>
      <c r="AR347" s="104"/>
      <c r="AS347" s="105"/>
      <c r="AT347" s="104"/>
      <c r="AU347" s="106"/>
      <c r="AV347" s="105"/>
      <c r="AW347" s="4"/>
    </row>
    <row r="348" spans="1:49" x14ac:dyDescent="0.25">
      <c r="F348" s="180">
        <v>1007632849</v>
      </c>
      <c r="G348" s="177" t="s">
        <v>116</v>
      </c>
      <c r="H348" s="15">
        <v>2026</v>
      </c>
      <c r="I348" s="15" t="s">
        <v>163</v>
      </c>
      <c r="J348" s="195" t="s">
        <v>105</v>
      </c>
      <c r="K348" s="195" t="s">
        <v>105</v>
      </c>
      <c r="L348" s="195" t="s">
        <v>105</v>
      </c>
      <c r="M348" s="195" t="s">
        <v>105</v>
      </c>
      <c r="N348" s="195" t="s">
        <v>105</v>
      </c>
      <c r="O348" s="195" t="s">
        <v>105</v>
      </c>
      <c r="P348" s="195" t="s">
        <v>105</v>
      </c>
      <c r="Q348" s="195" t="s">
        <v>105</v>
      </c>
      <c r="R348" s="195" t="s">
        <v>105</v>
      </c>
      <c r="S348" s="195" t="s">
        <v>105</v>
      </c>
      <c r="T348" s="195" t="s">
        <v>105</v>
      </c>
      <c r="U348" s="195" t="s">
        <v>105</v>
      </c>
      <c r="V348" s="195" t="s">
        <v>105</v>
      </c>
      <c r="W348" s="195" t="s">
        <v>105</v>
      </c>
      <c r="X348" s="195" t="s">
        <v>105</v>
      </c>
      <c r="Y348" s="195" t="s">
        <v>105</v>
      </c>
      <c r="Z348" s="195" t="s">
        <v>105</v>
      </c>
      <c r="AA348" s="195" t="s">
        <v>105</v>
      </c>
      <c r="AB348" s="195" t="s">
        <v>105</v>
      </c>
      <c r="AC348" s="195" t="s">
        <v>105</v>
      </c>
      <c r="AD348" s="195" t="s">
        <v>105</v>
      </c>
      <c r="AE348" s="195" t="s">
        <v>105</v>
      </c>
      <c r="AF348" s="195" t="s">
        <v>105</v>
      </c>
      <c r="AG348" s="195" t="s">
        <v>105</v>
      </c>
      <c r="AH348" s="195" t="s">
        <v>105</v>
      </c>
      <c r="AI348" s="195" t="s">
        <v>105</v>
      </c>
      <c r="AJ348" s="195" t="s">
        <v>105</v>
      </c>
      <c r="AK348" s="195" t="s">
        <v>105</v>
      </c>
      <c r="AL348" s="195" t="s">
        <v>105</v>
      </c>
      <c r="AM348" s="195" t="s">
        <v>105</v>
      </c>
      <c r="AN348" s="166"/>
      <c r="AO348" s="17">
        <f>COUNTIF(Tabla13234428[[#This Row],[1L]:[Columna1]],"D12")</f>
        <v>0</v>
      </c>
      <c r="AP348" s="17">
        <f>COUNTIF(Tabla13234428[[#This Row],[1L]:[Columna1]],"N12")</f>
        <v>0</v>
      </c>
      <c r="AQ348" s="18">
        <f>COUNTBLANK(Tabla13234428[[#This Row],[1L]:[Columna1]])</f>
        <v>1</v>
      </c>
      <c r="AR348" s="104"/>
      <c r="AS348" s="105"/>
      <c r="AT348" s="104"/>
      <c r="AU348" s="106"/>
      <c r="AV348" s="105"/>
      <c r="AW348" s="4"/>
    </row>
    <row r="349" spans="1:49" x14ac:dyDescent="0.25">
      <c r="F349" s="233">
        <v>1067883111</v>
      </c>
      <c r="G349" s="234" t="s">
        <v>81</v>
      </c>
      <c r="H349" s="15">
        <v>2026</v>
      </c>
      <c r="I349" s="15" t="s">
        <v>163</v>
      </c>
      <c r="J349" s="195" t="s">
        <v>105</v>
      </c>
      <c r="K349" s="195" t="s">
        <v>105</v>
      </c>
      <c r="L349" s="195" t="s">
        <v>105</v>
      </c>
      <c r="M349" s="195" t="s">
        <v>105</v>
      </c>
      <c r="N349" s="195" t="s">
        <v>105</v>
      </c>
      <c r="O349" s="195" t="s">
        <v>105</v>
      </c>
      <c r="P349" s="195" t="s">
        <v>105</v>
      </c>
      <c r="Q349" s="195" t="s">
        <v>105</v>
      </c>
      <c r="R349" s="195" t="s">
        <v>105</v>
      </c>
      <c r="S349" s="195" t="s">
        <v>105</v>
      </c>
      <c r="T349" s="195" t="s">
        <v>105</v>
      </c>
      <c r="U349" s="195" t="s">
        <v>105</v>
      </c>
      <c r="V349" s="195" t="s">
        <v>105</v>
      </c>
      <c r="W349" s="195" t="s">
        <v>105</v>
      </c>
      <c r="X349" s="195" t="s">
        <v>105</v>
      </c>
      <c r="Y349" s="195" t="s">
        <v>105</v>
      </c>
      <c r="Z349" s="195" t="s">
        <v>105</v>
      </c>
      <c r="AA349" s="195" t="s">
        <v>105</v>
      </c>
      <c r="AB349" s="195" t="s">
        <v>105</v>
      </c>
      <c r="AC349" s="195" t="s">
        <v>105</v>
      </c>
      <c r="AD349" s="195" t="s">
        <v>105</v>
      </c>
      <c r="AE349" s="195" t="s">
        <v>105</v>
      </c>
      <c r="AF349" s="195" t="s">
        <v>105</v>
      </c>
      <c r="AG349" s="195" t="s">
        <v>105</v>
      </c>
      <c r="AH349" s="195" t="s">
        <v>105</v>
      </c>
      <c r="AI349" s="195" t="s">
        <v>105</v>
      </c>
      <c r="AJ349" s="195" t="s">
        <v>105</v>
      </c>
      <c r="AK349" s="195" t="s">
        <v>105</v>
      </c>
      <c r="AL349" s="195" t="s">
        <v>105</v>
      </c>
      <c r="AM349" s="195" t="s">
        <v>105</v>
      </c>
      <c r="AN349" s="166"/>
      <c r="AO349" s="17">
        <f>COUNTIF(Tabla13234428[[#This Row],[1L]:[Columna1]],"D12")</f>
        <v>0</v>
      </c>
      <c r="AP349" s="17">
        <f>COUNTIF(Tabla13234428[[#This Row],[1L]:[Columna1]],"N12")</f>
        <v>0</v>
      </c>
      <c r="AQ349" s="18">
        <f>COUNTBLANK(Tabla13234428[[#This Row],[1L]:[Columna1]])</f>
        <v>1</v>
      </c>
      <c r="AR349" s="104"/>
      <c r="AS349" s="105"/>
      <c r="AT349" s="104"/>
      <c r="AU349" s="106"/>
      <c r="AV349" s="105"/>
      <c r="AW349" s="4"/>
    </row>
    <row r="350" spans="1:49" x14ac:dyDescent="0.25">
      <c r="F350" s="235">
        <v>71185910</v>
      </c>
      <c r="G350" s="236" t="s">
        <v>82</v>
      </c>
      <c r="H350" s="15">
        <v>2026</v>
      </c>
      <c r="I350" s="15" t="s">
        <v>163</v>
      </c>
      <c r="J350" s="98" t="s">
        <v>31</v>
      </c>
      <c r="K350" s="98" t="s">
        <v>31</v>
      </c>
      <c r="L350" s="190"/>
      <c r="M350" s="167" t="s">
        <v>31</v>
      </c>
      <c r="N350" s="195" t="s">
        <v>105</v>
      </c>
      <c r="O350" s="195" t="s">
        <v>105</v>
      </c>
      <c r="P350" s="166" t="s">
        <v>28</v>
      </c>
      <c r="Q350" s="166" t="s">
        <v>28</v>
      </c>
      <c r="R350" s="166" t="s">
        <v>28</v>
      </c>
      <c r="S350" s="166" t="s">
        <v>28</v>
      </c>
      <c r="T350" s="166" t="s">
        <v>29</v>
      </c>
      <c r="U350" s="166" t="s">
        <v>29</v>
      </c>
      <c r="V350" s="166" t="s">
        <v>29</v>
      </c>
      <c r="W350" s="166" t="s">
        <v>29</v>
      </c>
      <c r="X350" s="166" t="s">
        <v>29</v>
      </c>
      <c r="Y350" s="166" t="s">
        <v>29</v>
      </c>
      <c r="Z350" s="164"/>
      <c r="AA350" s="164"/>
      <c r="AB350" s="166" t="s">
        <v>28</v>
      </c>
      <c r="AC350" s="167" t="s">
        <v>29</v>
      </c>
      <c r="AD350" s="167" t="s">
        <v>29</v>
      </c>
      <c r="AE350" s="167" t="s">
        <v>29</v>
      </c>
      <c r="AF350" s="167" t="s">
        <v>29</v>
      </c>
      <c r="AG350" s="167" t="s">
        <v>29</v>
      </c>
      <c r="AH350" s="167" t="s">
        <v>29</v>
      </c>
      <c r="AI350" s="164"/>
      <c r="AJ350" s="164"/>
      <c r="AK350" s="161" t="s">
        <v>48</v>
      </c>
      <c r="AL350" s="167" t="s">
        <v>28</v>
      </c>
      <c r="AM350" s="167" t="s">
        <v>28</v>
      </c>
      <c r="AN350" s="166"/>
      <c r="AO350" s="17">
        <f>COUNTIF(Tabla13234428[[#This Row],[1L]:[Columna1]],"D12")</f>
        <v>7</v>
      </c>
      <c r="AP350" s="17">
        <f>COUNTIF(Tabla13234428[[#This Row],[1L]:[Columna1]],"N12")</f>
        <v>12</v>
      </c>
      <c r="AQ350" s="18">
        <f>COUNTBLANK(Tabla13234428[[#This Row],[1L]:[Columna1]])</f>
        <v>6</v>
      </c>
      <c r="AR350" s="104"/>
      <c r="AS350" s="105"/>
      <c r="AT350" s="104"/>
      <c r="AU350" s="106"/>
      <c r="AV350" s="105"/>
      <c r="AW350" s="4"/>
    </row>
    <row r="351" spans="1:49" x14ac:dyDescent="0.25">
      <c r="F351" s="237">
        <v>7537251</v>
      </c>
      <c r="G351" s="238" t="s">
        <v>78</v>
      </c>
      <c r="H351" s="15">
        <v>2026</v>
      </c>
      <c r="I351" s="15" t="s">
        <v>163</v>
      </c>
      <c r="J351" s="98" t="s">
        <v>31</v>
      </c>
      <c r="K351" s="98" t="s">
        <v>31</v>
      </c>
      <c r="L351" s="167" t="s">
        <v>31</v>
      </c>
      <c r="M351" s="98" t="s">
        <v>31</v>
      </c>
      <c r="N351" s="98" t="s">
        <v>31</v>
      </c>
      <c r="O351" s="98" t="s">
        <v>31</v>
      </c>
      <c r="P351" s="167" t="s">
        <v>31</v>
      </c>
      <c r="Q351" s="166" t="s">
        <v>29</v>
      </c>
      <c r="R351" s="166" t="s">
        <v>29</v>
      </c>
      <c r="S351" s="161"/>
      <c r="T351" s="98" t="s">
        <v>31</v>
      </c>
      <c r="U351" s="167" t="s">
        <v>31</v>
      </c>
      <c r="V351" s="166" t="s">
        <v>28</v>
      </c>
      <c r="W351" s="98" t="s">
        <v>31</v>
      </c>
      <c r="X351" s="167" t="s">
        <v>31</v>
      </c>
      <c r="Y351" s="98" t="s">
        <v>31</v>
      </c>
      <c r="Z351" s="167" t="s">
        <v>31</v>
      </c>
      <c r="AA351" s="164"/>
      <c r="AB351" s="98" t="s">
        <v>31</v>
      </c>
      <c r="AC351" s="98" t="s">
        <v>31</v>
      </c>
      <c r="AD351" s="195" t="s">
        <v>105</v>
      </c>
      <c r="AE351" s="195" t="s">
        <v>105</v>
      </c>
      <c r="AF351" s="195" t="s">
        <v>105</v>
      </c>
      <c r="AG351" s="195" t="s">
        <v>105</v>
      </c>
      <c r="AH351" s="195" t="s">
        <v>105</v>
      </c>
      <c r="AI351" s="195" t="s">
        <v>105</v>
      </c>
      <c r="AJ351" s="195" t="s">
        <v>105</v>
      </c>
      <c r="AK351" s="195" t="s">
        <v>105</v>
      </c>
      <c r="AL351" s="195" t="s">
        <v>105</v>
      </c>
      <c r="AM351" s="195" t="s">
        <v>105</v>
      </c>
      <c r="AN351" s="166"/>
      <c r="AO351" s="17">
        <f>COUNTIF(Tabla13234428[[#This Row],[1L]:[Columna1]],"D12")</f>
        <v>1</v>
      </c>
      <c r="AP351" s="17">
        <f>COUNTIF(Tabla13234428[[#This Row],[1L]:[Columna1]],"N12")</f>
        <v>2</v>
      </c>
      <c r="AQ351" s="18">
        <f>COUNTBLANK(Tabla13234428[[#This Row],[1L]:[Columna1]])</f>
        <v>3</v>
      </c>
      <c r="AR351" s="104"/>
      <c r="AS351" s="105"/>
      <c r="AT351" s="104"/>
      <c r="AU351" s="106"/>
      <c r="AV351" s="105"/>
      <c r="AW351" s="4"/>
    </row>
    <row r="352" spans="1:49" x14ac:dyDescent="0.25">
      <c r="F352" s="237">
        <v>8337839</v>
      </c>
      <c r="G352" s="239" t="s">
        <v>117</v>
      </c>
      <c r="H352" s="15">
        <v>2026</v>
      </c>
      <c r="I352" s="15" t="s">
        <v>163</v>
      </c>
      <c r="J352" s="195" t="s">
        <v>105</v>
      </c>
      <c r="K352" s="195" t="s">
        <v>105</v>
      </c>
      <c r="L352" s="195" t="s">
        <v>105</v>
      </c>
      <c r="M352" s="195" t="s">
        <v>105</v>
      </c>
      <c r="N352" s="195" t="s">
        <v>105</v>
      </c>
      <c r="O352" s="195" t="s">
        <v>105</v>
      </c>
      <c r="P352" s="195" t="s">
        <v>105</v>
      </c>
      <c r="Q352" s="195" t="s">
        <v>105</v>
      </c>
      <c r="R352" s="195" t="s">
        <v>105</v>
      </c>
      <c r="S352" s="195" t="s">
        <v>105</v>
      </c>
      <c r="T352" s="195" t="s">
        <v>105</v>
      </c>
      <c r="U352" s="195" t="s">
        <v>105</v>
      </c>
      <c r="V352" s="195" t="s">
        <v>105</v>
      </c>
      <c r="W352" s="195" t="s">
        <v>105</v>
      </c>
      <c r="X352" s="195" t="s">
        <v>105</v>
      </c>
      <c r="Y352" s="195" t="s">
        <v>105</v>
      </c>
      <c r="Z352" s="195" t="s">
        <v>105</v>
      </c>
      <c r="AA352" s="195" t="s">
        <v>105</v>
      </c>
      <c r="AB352" s="195" t="s">
        <v>105</v>
      </c>
      <c r="AC352" s="195" t="s">
        <v>105</v>
      </c>
      <c r="AD352" s="195" t="s">
        <v>105</v>
      </c>
      <c r="AE352" s="195" t="s">
        <v>105</v>
      </c>
      <c r="AF352" s="195" t="s">
        <v>105</v>
      </c>
      <c r="AG352" s="195" t="s">
        <v>105</v>
      </c>
      <c r="AH352" s="195" t="s">
        <v>105</v>
      </c>
      <c r="AI352" s="195" t="s">
        <v>105</v>
      </c>
      <c r="AJ352" s="195" t="s">
        <v>105</v>
      </c>
      <c r="AK352" s="195" t="s">
        <v>105</v>
      </c>
      <c r="AL352" s="195" t="s">
        <v>105</v>
      </c>
      <c r="AM352" s="195" t="s">
        <v>105</v>
      </c>
      <c r="AN352" s="166"/>
      <c r="AO352" s="17">
        <f>COUNTIF(Tabla13234428[[#This Row],[1L]:[Columna1]],"D12")</f>
        <v>0</v>
      </c>
      <c r="AP352" s="17">
        <f>COUNTIF(Tabla13234428[[#This Row],[1L]:[Columna1]],"N12")</f>
        <v>0</v>
      </c>
      <c r="AQ352" s="18">
        <f>COUNTBLANK(Tabla13234428[[#This Row],[1L]:[Columna1]])</f>
        <v>1</v>
      </c>
      <c r="AR352" s="104"/>
      <c r="AS352" s="105"/>
      <c r="AT352" s="104"/>
      <c r="AU352" s="106"/>
      <c r="AV352" s="105"/>
      <c r="AW352" s="4"/>
    </row>
    <row r="353" spans="6:49" x14ac:dyDescent="0.25">
      <c r="F353" s="257">
        <v>71742698</v>
      </c>
      <c r="G353" s="257" t="s">
        <v>84</v>
      </c>
      <c r="H353" s="15">
        <v>2026</v>
      </c>
      <c r="I353" s="15" t="s">
        <v>163</v>
      </c>
      <c r="J353" s="253"/>
      <c r="K353" s="253"/>
      <c r="L353" s="98" t="s">
        <v>31</v>
      </c>
      <c r="M353" s="98" t="s">
        <v>31</v>
      </c>
      <c r="N353" s="98" t="s">
        <v>31</v>
      </c>
      <c r="O353" s="98" t="s">
        <v>28</v>
      </c>
      <c r="P353" s="98" t="s">
        <v>28</v>
      </c>
      <c r="Q353" s="98" t="s">
        <v>28</v>
      </c>
      <c r="R353" s="98" t="s">
        <v>31</v>
      </c>
      <c r="S353" s="98" t="s">
        <v>31</v>
      </c>
      <c r="T353" s="98" t="s">
        <v>31</v>
      </c>
      <c r="U353" s="98" t="s">
        <v>31</v>
      </c>
      <c r="V353" s="98" t="s">
        <v>28</v>
      </c>
      <c r="W353" s="98" t="s">
        <v>28</v>
      </c>
      <c r="X353" s="98" t="s">
        <v>28</v>
      </c>
      <c r="Y353" s="253"/>
      <c r="Z353" s="253"/>
      <c r="AA353" s="98" t="s">
        <v>31</v>
      </c>
      <c r="AB353" s="98" t="s">
        <v>31</v>
      </c>
      <c r="AC353" s="98" t="s">
        <v>28</v>
      </c>
      <c r="AD353" s="98" t="s">
        <v>28</v>
      </c>
      <c r="AE353" s="98" t="s">
        <v>31</v>
      </c>
      <c r="AF353" s="98" t="s">
        <v>31</v>
      </c>
      <c r="AG353" s="98" t="s">
        <v>31</v>
      </c>
      <c r="AH353" s="98" t="s">
        <v>31</v>
      </c>
      <c r="AI353" s="98" t="s">
        <v>31</v>
      </c>
      <c r="AJ353" s="98" t="s">
        <v>28</v>
      </c>
      <c r="AK353" s="98" t="s">
        <v>28</v>
      </c>
      <c r="AL353" s="98" t="s">
        <v>28</v>
      </c>
      <c r="AM353" s="98" t="s">
        <v>31</v>
      </c>
      <c r="AN353" s="18"/>
      <c r="AO353" s="17">
        <f>COUNTIF(Tabla13234428[[#This Row],[1L]:[Columna1]],"D12")</f>
        <v>11</v>
      </c>
      <c r="AP353" s="17">
        <f>COUNTIF(Tabla13234428[[#This Row],[1L]:[Columna1]],"N12")</f>
        <v>0</v>
      </c>
      <c r="AQ353" s="18">
        <f>COUNTBLANK(Tabla13234428[[#This Row],[1L]:[Columna1]])</f>
        <v>5</v>
      </c>
      <c r="AR353" s="104"/>
      <c r="AS353" s="105"/>
      <c r="AT353" s="104"/>
      <c r="AU353" s="106"/>
      <c r="AV353" s="105"/>
      <c r="AW353" s="4"/>
    </row>
    <row r="354" spans="6:49" ht="18.75" x14ac:dyDescent="0.25">
      <c r="F354" s="240">
        <v>1003714219</v>
      </c>
      <c r="G354" s="241" t="s">
        <v>80</v>
      </c>
      <c r="H354" s="15">
        <v>2026</v>
      </c>
      <c r="I354" s="15" t="s">
        <v>163</v>
      </c>
      <c r="J354" s="161"/>
      <c r="K354" s="161"/>
      <c r="L354" s="161" t="s">
        <v>48</v>
      </c>
      <c r="M354" s="98" t="s">
        <v>31</v>
      </c>
      <c r="N354" s="98" t="s">
        <v>31</v>
      </c>
      <c r="O354" s="98" t="s">
        <v>31</v>
      </c>
      <c r="P354" s="167" t="s">
        <v>31</v>
      </c>
      <c r="Q354" s="163" t="s">
        <v>28</v>
      </c>
      <c r="R354" s="163" t="s">
        <v>28</v>
      </c>
      <c r="S354" s="163" t="s">
        <v>28</v>
      </c>
      <c r="T354" s="126" t="s">
        <v>28</v>
      </c>
      <c r="U354" s="126" t="s">
        <v>28</v>
      </c>
      <c r="V354" s="126" t="s">
        <v>28</v>
      </c>
      <c r="W354" s="126" t="s">
        <v>28</v>
      </c>
      <c r="X354" s="126" t="s">
        <v>28</v>
      </c>
      <c r="Y354" s="167" t="s">
        <v>29</v>
      </c>
      <c r="Z354" s="167" t="s">
        <v>29</v>
      </c>
      <c r="AA354" s="167" t="s">
        <v>29</v>
      </c>
      <c r="AB354" s="199"/>
      <c r="AC354" s="199"/>
      <c r="AD354" s="161" t="s">
        <v>48</v>
      </c>
      <c r="AE354" s="126" t="s">
        <v>28</v>
      </c>
      <c r="AF354" s="126" t="s">
        <v>28</v>
      </c>
      <c r="AG354" s="126" t="s">
        <v>28</v>
      </c>
      <c r="AH354" s="126" t="s">
        <v>28</v>
      </c>
      <c r="AI354" s="126" t="s">
        <v>28</v>
      </c>
      <c r="AJ354" s="126" t="s">
        <v>28</v>
      </c>
      <c r="AK354" s="126" t="s">
        <v>28</v>
      </c>
      <c r="AL354" s="126" t="s">
        <v>28</v>
      </c>
      <c r="AM354" s="126" t="s">
        <v>28</v>
      </c>
      <c r="AN354" s="166"/>
      <c r="AO354" s="17">
        <f>COUNTIF(Tabla13234428[[#This Row],[1L]:[Columna1]],"D12")</f>
        <v>17</v>
      </c>
      <c r="AP354" s="17">
        <f>COUNTIF(Tabla13234428[[#This Row],[1L]:[Columna1]],"N12")</f>
        <v>3</v>
      </c>
      <c r="AQ354" s="18">
        <f>COUNTBLANK(Tabla13234428[[#This Row],[1L]:[Columna1]])</f>
        <v>5</v>
      </c>
      <c r="AR354" s="12">
        <v>0.75</v>
      </c>
      <c r="AS354" s="129"/>
      <c r="AT354" s="12">
        <v>0.25</v>
      </c>
      <c r="AU354" s="130"/>
      <c r="AV354" s="129"/>
      <c r="AW354" s="9"/>
    </row>
    <row r="355" spans="6:49" x14ac:dyDescent="0.25">
      <c r="F355" s="145"/>
      <c r="G355" s="146"/>
      <c r="H355" s="15">
        <v>2026</v>
      </c>
      <c r="I355" s="15" t="s">
        <v>163</v>
      </c>
      <c r="J355" s="167"/>
      <c r="K355" s="167"/>
      <c r="L355" s="166"/>
      <c r="M355" s="166"/>
      <c r="N355" s="166"/>
      <c r="O355" s="95"/>
      <c r="P355" s="167"/>
      <c r="Q355" s="167"/>
      <c r="R355" s="167"/>
      <c r="S355" s="167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17">
        <f>COUNTIF(Tabla13234428[[#This Row],[1L]:[Columna1]],"D12")</f>
        <v>0</v>
      </c>
      <c r="AP355" s="17">
        <f>COUNTIF(Tabla13234428[[#This Row],[1L]:[Columna1]],"N12")</f>
        <v>0</v>
      </c>
      <c r="AQ355" s="27">
        <f>COUNTBLANK(Tabla13234428[[#This Row],[1L]:[Columna1]])</f>
        <v>31</v>
      </c>
      <c r="AR355" s="19"/>
      <c r="AS355" s="22"/>
      <c r="AT355" s="19"/>
      <c r="AU355" s="23"/>
      <c r="AV355" s="22"/>
      <c r="AW355" s="4"/>
    </row>
    <row r="356" spans="6:49" ht="18.75" x14ac:dyDescent="0.25">
      <c r="F356" s="32"/>
      <c r="G356" s="1"/>
      <c r="H356" s="15">
        <v>2026</v>
      </c>
      <c r="I356" s="15" t="s">
        <v>163</v>
      </c>
      <c r="J356" s="150">
        <f t="shared" ref="J356:AN356" si="20">COUNTIF(J339:J354,"D12")</f>
        <v>1</v>
      </c>
      <c r="K356" s="150">
        <f t="shared" si="20"/>
        <v>2</v>
      </c>
      <c r="L356" s="150">
        <f t="shared" si="20"/>
        <v>2</v>
      </c>
      <c r="M356" s="150">
        <f t="shared" si="20"/>
        <v>2</v>
      </c>
      <c r="N356" s="150">
        <f t="shared" si="20"/>
        <v>2</v>
      </c>
      <c r="O356" s="150">
        <f t="shared" si="20"/>
        <v>4</v>
      </c>
      <c r="P356" s="150">
        <f t="shared" si="20"/>
        <v>4</v>
      </c>
      <c r="Q356" s="150">
        <f t="shared" si="20"/>
        <v>5</v>
      </c>
      <c r="R356" s="150">
        <f t="shared" si="20"/>
        <v>3</v>
      </c>
      <c r="S356" s="150">
        <f t="shared" si="20"/>
        <v>3</v>
      </c>
      <c r="T356" s="150">
        <f t="shared" si="20"/>
        <v>3</v>
      </c>
      <c r="U356" s="150">
        <f t="shared" si="20"/>
        <v>3</v>
      </c>
      <c r="V356" s="150">
        <f t="shared" si="20"/>
        <v>6</v>
      </c>
      <c r="W356" s="150">
        <f t="shared" si="20"/>
        <v>4</v>
      </c>
      <c r="X356" s="150">
        <f t="shared" si="20"/>
        <v>4</v>
      </c>
      <c r="Y356" s="150">
        <f t="shared" si="20"/>
        <v>0</v>
      </c>
      <c r="Z356" s="150">
        <f t="shared" si="20"/>
        <v>1</v>
      </c>
      <c r="AA356" s="150">
        <f t="shared" si="20"/>
        <v>1</v>
      </c>
      <c r="AB356" s="150">
        <f t="shared" si="20"/>
        <v>3</v>
      </c>
      <c r="AC356" s="150">
        <f t="shared" si="20"/>
        <v>3</v>
      </c>
      <c r="AD356" s="150">
        <f t="shared" si="20"/>
        <v>3</v>
      </c>
      <c r="AE356" s="150">
        <f t="shared" si="20"/>
        <v>2</v>
      </c>
      <c r="AF356" s="150">
        <f t="shared" si="20"/>
        <v>2</v>
      </c>
      <c r="AG356" s="150">
        <f t="shared" si="20"/>
        <v>2</v>
      </c>
      <c r="AH356" s="150">
        <f t="shared" si="20"/>
        <v>2</v>
      </c>
      <c r="AI356" s="150">
        <f t="shared" si="20"/>
        <v>2</v>
      </c>
      <c r="AJ356" s="150">
        <f t="shared" si="20"/>
        <v>4</v>
      </c>
      <c r="AK356" s="150">
        <f t="shared" si="20"/>
        <v>4</v>
      </c>
      <c r="AL356" s="150">
        <f t="shared" si="20"/>
        <v>4</v>
      </c>
      <c r="AM356" s="150">
        <f t="shared" si="20"/>
        <v>2</v>
      </c>
      <c r="AN356" s="150">
        <f t="shared" si="20"/>
        <v>0</v>
      </c>
      <c r="AO356" s="33"/>
      <c r="AP356" s="33"/>
      <c r="AQ356" s="34"/>
      <c r="AR356" s="276">
        <v>0.91666666666666663</v>
      </c>
      <c r="AS356" s="278"/>
      <c r="AT356" s="276">
        <v>0.25</v>
      </c>
      <c r="AU356" s="277"/>
      <c r="AV356" s="278"/>
      <c r="AW356" s="4"/>
    </row>
    <row r="357" spans="6:49" ht="18.75" x14ac:dyDescent="0.25">
      <c r="F357" s="35"/>
      <c r="G357" s="36"/>
      <c r="H357" s="15">
        <v>2026</v>
      </c>
      <c r="I357" s="15" t="s">
        <v>163</v>
      </c>
      <c r="J357" s="151">
        <f t="shared" ref="J357:AN357" si="21">COUNTIF(J339:J354,"N12")</f>
        <v>2</v>
      </c>
      <c r="K357" s="151">
        <f t="shared" si="21"/>
        <v>2</v>
      </c>
      <c r="L357" s="151">
        <f t="shared" si="21"/>
        <v>2</v>
      </c>
      <c r="M357" s="151">
        <f t="shared" si="21"/>
        <v>1</v>
      </c>
      <c r="N357" s="151">
        <f t="shared" si="21"/>
        <v>0</v>
      </c>
      <c r="O357" s="151">
        <f t="shared" si="21"/>
        <v>0</v>
      </c>
      <c r="P357" s="151">
        <f t="shared" si="21"/>
        <v>1</v>
      </c>
      <c r="Q357" s="151">
        <f t="shared" si="21"/>
        <v>4</v>
      </c>
      <c r="R357" s="151">
        <f t="shared" si="21"/>
        <v>4</v>
      </c>
      <c r="S357" s="151">
        <f t="shared" si="21"/>
        <v>1</v>
      </c>
      <c r="T357" s="151">
        <f t="shared" si="21"/>
        <v>2</v>
      </c>
      <c r="U357" s="151">
        <f t="shared" si="21"/>
        <v>2</v>
      </c>
      <c r="V357" s="151">
        <f t="shared" si="21"/>
        <v>2</v>
      </c>
      <c r="W357" s="151">
        <f t="shared" si="21"/>
        <v>2</v>
      </c>
      <c r="X357" s="151">
        <f t="shared" si="21"/>
        <v>2</v>
      </c>
      <c r="Y357" s="151">
        <f t="shared" si="21"/>
        <v>4</v>
      </c>
      <c r="Z357" s="151">
        <f t="shared" si="21"/>
        <v>3</v>
      </c>
      <c r="AA357" s="151">
        <f t="shared" si="21"/>
        <v>3</v>
      </c>
      <c r="AB357" s="151">
        <f t="shared" si="21"/>
        <v>1</v>
      </c>
      <c r="AC357" s="151">
        <f t="shared" si="21"/>
        <v>2</v>
      </c>
      <c r="AD357" s="151">
        <f t="shared" si="21"/>
        <v>2</v>
      </c>
      <c r="AE357" s="151">
        <f t="shared" si="21"/>
        <v>1</v>
      </c>
      <c r="AF357" s="151">
        <f t="shared" si="21"/>
        <v>2</v>
      </c>
      <c r="AG357" s="151">
        <f t="shared" si="21"/>
        <v>2</v>
      </c>
      <c r="AH357" s="151">
        <f t="shared" si="21"/>
        <v>3</v>
      </c>
      <c r="AI357" s="151">
        <f t="shared" si="21"/>
        <v>2</v>
      </c>
      <c r="AJ357" s="151">
        <f t="shared" si="21"/>
        <v>2</v>
      </c>
      <c r="AK357" s="151">
        <f t="shared" si="21"/>
        <v>2</v>
      </c>
      <c r="AL357" s="151">
        <f t="shared" si="21"/>
        <v>2</v>
      </c>
      <c r="AM357" s="151">
        <f t="shared" si="21"/>
        <v>2</v>
      </c>
      <c r="AN357" s="151">
        <f t="shared" si="21"/>
        <v>0</v>
      </c>
      <c r="AO357" s="38"/>
      <c r="AP357" s="38"/>
      <c r="AQ357" s="34"/>
      <c r="AR357" s="4"/>
      <c r="AS357" s="4"/>
      <c r="AT357" s="4"/>
      <c r="AU357" s="4"/>
      <c r="AV357" s="4"/>
      <c r="AW357" s="4"/>
    </row>
    <row r="358" spans="6:49" x14ac:dyDescent="0.25">
      <c r="AR358" s="4"/>
      <c r="AS358" s="4"/>
      <c r="AT358" s="4"/>
      <c r="AU358" s="4"/>
      <c r="AV358" s="4"/>
      <c r="AW358" s="4"/>
    </row>
    <row r="359" spans="6:49" x14ac:dyDescent="0.25">
      <c r="H359" s="301" t="s">
        <v>36</v>
      </c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R359" s="4"/>
      <c r="AS359" s="4"/>
      <c r="AT359" s="4"/>
      <c r="AU359" s="4"/>
      <c r="AV359" s="4"/>
      <c r="AW359" s="4"/>
    </row>
    <row r="360" spans="6:49" x14ac:dyDescent="0.25">
      <c r="H360" s="304" t="s">
        <v>37</v>
      </c>
      <c r="I360" s="305"/>
      <c r="J360" s="305"/>
      <c r="K360" s="305"/>
      <c r="L360" s="305"/>
      <c r="M360" s="305"/>
      <c r="N360" s="305"/>
      <c r="O360" s="305"/>
      <c r="P360" s="305"/>
      <c r="Q360" s="305"/>
      <c r="R360" s="305"/>
      <c r="S360" s="305"/>
      <c r="T360" s="305"/>
      <c r="U360" s="305"/>
      <c r="V360" s="305"/>
      <c r="W360" s="305"/>
      <c r="X360" s="305"/>
      <c r="Y360" s="305"/>
      <c r="Z360" s="305"/>
      <c r="AA360" s="306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</row>
    <row r="361" spans="6:49" x14ac:dyDescent="0.25">
      <c r="H361" s="304" t="s">
        <v>38</v>
      </c>
      <c r="I361" s="305"/>
      <c r="J361" s="305"/>
      <c r="K361" s="305"/>
      <c r="L361" s="305"/>
      <c r="M361" s="305"/>
      <c r="N361" s="305"/>
      <c r="O361" s="305"/>
      <c r="P361" s="305"/>
      <c r="Q361" s="305"/>
      <c r="R361" s="305"/>
      <c r="S361" s="305"/>
      <c r="T361" s="305"/>
      <c r="U361" s="305"/>
      <c r="V361" s="305"/>
      <c r="W361" s="305"/>
      <c r="X361" s="305"/>
      <c r="Y361" s="305"/>
      <c r="Z361" s="305"/>
      <c r="AA361" s="306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</row>
    <row r="362" spans="6:49" x14ac:dyDescent="0.25"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</row>
    <row r="363" spans="6:49" x14ac:dyDescent="0.25">
      <c r="H363" s="55"/>
      <c r="I363" s="279" t="s">
        <v>39</v>
      </c>
      <c r="J363" s="280"/>
      <c r="K363" s="280"/>
      <c r="L363" s="281"/>
      <c r="M363" s="56"/>
      <c r="N363" s="279" t="s">
        <v>40</v>
      </c>
      <c r="O363" s="280"/>
      <c r="P363" s="280"/>
      <c r="Q363" s="280"/>
      <c r="R363" s="281"/>
      <c r="S363" s="300" t="s">
        <v>13</v>
      </c>
      <c r="T363" s="300"/>
      <c r="U363" s="300" t="s">
        <v>14</v>
      </c>
      <c r="V363" s="300"/>
      <c r="W363" s="300"/>
    </row>
    <row r="364" spans="6:49" x14ac:dyDescent="0.25">
      <c r="H364" s="46" t="s">
        <v>32</v>
      </c>
      <c r="I364" s="279" t="s">
        <v>41</v>
      </c>
      <c r="J364" s="280"/>
      <c r="K364" s="280"/>
      <c r="L364" s="281"/>
      <c r="M364" s="47" t="s">
        <v>42</v>
      </c>
      <c r="N364" s="279" t="s">
        <v>43</v>
      </c>
      <c r="O364" s="280"/>
      <c r="P364" s="280"/>
      <c r="Q364" s="280"/>
      <c r="R364" s="281"/>
      <c r="S364" s="276">
        <v>0.70833333333333337</v>
      </c>
      <c r="T364" s="282"/>
      <c r="U364" s="19"/>
      <c r="V364" s="21">
        <v>0.20833333333333334</v>
      </c>
      <c r="W364" s="22"/>
    </row>
    <row r="365" spans="6:49" x14ac:dyDescent="0.25">
      <c r="H365" s="48" t="s">
        <v>44</v>
      </c>
      <c r="I365" s="279" t="s">
        <v>45</v>
      </c>
      <c r="J365" s="280"/>
      <c r="K365" s="280"/>
      <c r="L365" s="281"/>
      <c r="M365" s="49" t="s">
        <v>46</v>
      </c>
      <c r="N365" s="279" t="s">
        <v>47</v>
      </c>
      <c r="O365" s="280"/>
      <c r="P365" s="280"/>
      <c r="Q365" s="280"/>
      <c r="R365" s="281"/>
      <c r="S365" s="276">
        <v>0.20833333333333334</v>
      </c>
      <c r="T365" s="282"/>
      <c r="U365" s="19"/>
      <c r="V365" s="21">
        <v>0.70833333333333337</v>
      </c>
      <c r="W365" s="22"/>
    </row>
    <row r="366" spans="6:49" x14ac:dyDescent="0.25">
      <c r="H366" s="1" t="s">
        <v>48</v>
      </c>
      <c r="I366" s="279" t="s">
        <v>49</v>
      </c>
      <c r="J366" s="280"/>
      <c r="K366" s="280"/>
      <c r="L366" s="281"/>
      <c r="M366" s="39" t="s">
        <v>50</v>
      </c>
      <c r="N366" s="279" t="s">
        <v>51</v>
      </c>
      <c r="O366" s="280"/>
      <c r="P366" s="280"/>
      <c r="Q366" s="280"/>
      <c r="R366" s="281"/>
      <c r="S366" s="276">
        <v>0.75</v>
      </c>
      <c r="T366" s="282"/>
      <c r="U366" s="276">
        <v>0.25</v>
      </c>
      <c r="V366" s="327"/>
      <c r="W366" s="282"/>
    </row>
    <row r="367" spans="6:49" x14ac:dyDescent="0.25">
      <c r="H367" s="1" t="s">
        <v>29</v>
      </c>
      <c r="I367" s="279" t="s">
        <v>52</v>
      </c>
      <c r="J367" s="280"/>
      <c r="K367" s="280"/>
      <c r="L367" s="281"/>
      <c r="M367" s="1" t="s">
        <v>53</v>
      </c>
      <c r="N367" s="279" t="s">
        <v>54</v>
      </c>
      <c r="O367" s="280"/>
      <c r="P367" s="280"/>
      <c r="Q367" s="280"/>
      <c r="R367" s="281"/>
      <c r="S367" s="276"/>
      <c r="T367" s="282"/>
      <c r="U367" s="276"/>
      <c r="V367" s="277"/>
      <c r="W367" s="278"/>
    </row>
    <row r="368" spans="6:49" x14ac:dyDescent="0.25">
      <c r="H368" s="1" t="s">
        <v>28</v>
      </c>
      <c r="I368" s="299" t="s">
        <v>55</v>
      </c>
      <c r="J368" s="299"/>
      <c r="K368" s="299"/>
      <c r="L368" s="299"/>
      <c r="M368" s="1" t="s">
        <v>31</v>
      </c>
      <c r="N368" s="299" t="s">
        <v>56</v>
      </c>
      <c r="O368" s="299"/>
      <c r="P368" s="299"/>
      <c r="Q368" s="299"/>
      <c r="R368" s="299"/>
      <c r="S368" s="1"/>
      <c r="T368" s="1"/>
      <c r="U368" s="1"/>
      <c r="V368" s="1"/>
      <c r="W368" s="1"/>
    </row>
    <row r="369" spans="1:43" x14ac:dyDescent="0.25">
      <c r="I369" s="168"/>
      <c r="J369" s="168"/>
      <c r="K369" s="168"/>
      <c r="L369" s="168"/>
      <c r="N369" s="168"/>
      <c r="O369" s="168"/>
      <c r="P369" s="168"/>
      <c r="Q369" s="168"/>
      <c r="R369" s="168"/>
    </row>
    <row r="370" spans="1:43" x14ac:dyDescent="0.25">
      <c r="I370" s="168"/>
      <c r="J370" s="168"/>
      <c r="K370" s="168"/>
      <c r="L370" s="168"/>
      <c r="N370" s="168"/>
      <c r="O370" s="168"/>
      <c r="P370" s="168"/>
      <c r="Q370" s="168"/>
      <c r="R370" s="168"/>
    </row>
    <row r="371" spans="1:43" x14ac:dyDescent="0.25">
      <c r="I371" s="168"/>
      <c r="J371" s="168"/>
      <c r="K371" s="168"/>
      <c r="L371" s="168"/>
      <c r="N371" s="168"/>
      <c r="O371" s="168"/>
      <c r="P371" s="168"/>
      <c r="Q371" s="168"/>
      <c r="R371" s="168"/>
    </row>
    <row r="372" spans="1:43" x14ac:dyDescent="0.25">
      <c r="I372" s="168"/>
      <c r="J372" s="168"/>
      <c r="K372" s="168"/>
      <c r="L372" s="168"/>
      <c r="N372" s="168"/>
      <c r="O372" s="168"/>
      <c r="P372" s="168"/>
      <c r="Q372" s="168"/>
      <c r="R372" s="168"/>
    </row>
    <row r="375" spans="1:43" x14ac:dyDescent="0.25">
      <c r="F375" s="387"/>
      <c r="G375" s="388"/>
      <c r="H375" s="309" t="s">
        <v>1</v>
      </c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  <c r="X375" s="310"/>
      <c r="Y375" s="310"/>
      <c r="Z375" s="310"/>
      <c r="AA375" s="310"/>
      <c r="AB375" s="310"/>
      <c r="AC375" s="310"/>
      <c r="AD375" s="310"/>
      <c r="AE375" s="310"/>
      <c r="AF375" s="310"/>
      <c r="AG375" s="310"/>
      <c r="AH375" s="311"/>
      <c r="AI375" s="289" t="s">
        <v>2</v>
      </c>
      <c r="AJ375" s="289"/>
      <c r="AK375" s="289"/>
      <c r="AL375" s="289"/>
      <c r="AM375" s="289"/>
      <c r="AN375" s="289"/>
    </row>
    <row r="376" spans="1:43" x14ac:dyDescent="0.25">
      <c r="F376" s="389"/>
      <c r="G376" s="390"/>
      <c r="H376" s="343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  <c r="AA376" s="344"/>
      <c r="AB376" s="344"/>
      <c r="AC376" s="344"/>
      <c r="AD376" s="344"/>
      <c r="AE376" s="344"/>
      <c r="AF376" s="344"/>
      <c r="AG376" s="344"/>
      <c r="AH376" s="345"/>
      <c r="AI376" s="289"/>
      <c r="AJ376" s="289"/>
      <c r="AK376" s="289"/>
      <c r="AL376" s="289"/>
      <c r="AM376" s="289"/>
      <c r="AN376" s="289"/>
      <c r="AO376" s="3"/>
      <c r="AP376" s="3"/>
      <c r="AQ376" s="3"/>
    </row>
    <row r="377" spans="1:43" x14ac:dyDescent="0.25">
      <c r="F377" s="389"/>
      <c r="G377" s="390"/>
      <c r="H377" s="307" t="s">
        <v>3</v>
      </c>
      <c r="I377" s="290"/>
      <c r="J377" s="290"/>
      <c r="K377" s="291" t="s">
        <v>4</v>
      </c>
      <c r="L377" s="291"/>
      <c r="M377" s="291"/>
      <c r="N377" s="291"/>
      <c r="O377" s="291"/>
      <c r="P377" s="291"/>
      <c r="Q377" s="291"/>
      <c r="R377" s="291"/>
      <c r="S377" s="291"/>
      <c r="T377" s="291"/>
      <c r="U377" s="291"/>
      <c r="V377" s="291"/>
      <c r="W377" s="291"/>
      <c r="X377" s="291"/>
      <c r="Y377" s="291"/>
      <c r="Z377" s="291"/>
      <c r="AA377" s="291"/>
      <c r="AB377" s="291"/>
      <c r="AC377" s="291"/>
      <c r="AD377" s="291"/>
      <c r="AE377" s="291"/>
      <c r="AF377" s="291"/>
      <c r="AG377" s="291"/>
      <c r="AH377" s="292"/>
      <c r="AI377" s="289" t="s">
        <v>5</v>
      </c>
      <c r="AJ377" s="289"/>
      <c r="AK377" s="289"/>
      <c r="AL377" s="289"/>
      <c r="AM377" s="289"/>
      <c r="AN377" s="289"/>
      <c r="AO377" s="3"/>
      <c r="AP377" s="3"/>
      <c r="AQ377" s="3"/>
    </row>
    <row r="378" spans="1:43" x14ac:dyDescent="0.25">
      <c r="F378" s="389"/>
      <c r="G378" s="390"/>
      <c r="H378" s="5" t="s">
        <v>6</v>
      </c>
      <c r="I378" s="6"/>
      <c r="J378" s="6"/>
      <c r="K378" s="291" t="s">
        <v>7</v>
      </c>
      <c r="L378" s="291"/>
      <c r="M378" s="291"/>
      <c r="N378" s="291"/>
      <c r="O378" s="291"/>
      <c r="P378" s="291"/>
      <c r="Q378" s="291"/>
      <c r="R378" s="291"/>
      <c r="S378" s="291"/>
      <c r="T378" s="291"/>
      <c r="U378" s="291"/>
      <c r="V378" s="291"/>
      <c r="W378" s="291"/>
      <c r="X378" s="291"/>
      <c r="Y378" s="291"/>
      <c r="Z378" s="291"/>
      <c r="AA378" s="291"/>
      <c r="AB378" s="291"/>
      <c r="AC378" s="291"/>
      <c r="AD378" s="291"/>
      <c r="AE378" s="291"/>
      <c r="AF378" s="291"/>
      <c r="AG378" s="291"/>
      <c r="AH378" s="292"/>
      <c r="AI378" s="289"/>
      <c r="AJ378" s="289"/>
      <c r="AK378" s="289"/>
      <c r="AL378" s="289"/>
      <c r="AM378" s="289"/>
      <c r="AN378" s="289"/>
      <c r="AO378" s="3"/>
      <c r="AP378" s="3"/>
      <c r="AQ378" s="3"/>
    </row>
    <row r="379" spans="1:43" x14ac:dyDescent="0.25">
      <c r="F379" s="389"/>
      <c r="G379" s="390"/>
      <c r="H379" s="307" t="s">
        <v>8</v>
      </c>
      <c r="I379" s="290"/>
      <c r="J379" s="290"/>
      <c r="K379" s="291" t="s">
        <v>9</v>
      </c>
      <c r="L379" s="291"/>
      <c r="M379" s="291"/>
      <c r="N379" s="291"/>
      <c r="O379" s="291"/>
      <c r="P379" s="291"/>
      <c r="Q379" s="291"/>
      <c r="R379" s="291"/>
      <c r="S379" s="291"/>
      <c r="T379" s="291"/>
      <c r="U379" s="291"/>
      <c r="V379" s="291"/>
      <c r="W379" s="291"/>
      <c r="X379" s="291"/>
      <c r="Y379" s="291"/>
      <c r="Z379" s="291"/>
      <c r="AA379" s="291"/>
      <c r="AB379" s="291"/>
      <c r="AC379" s="291"/>
      <c r="AD379" s="291"/>
      <c r="AE379" s="291"/>
      <c r="AF379" s="291"/>
      <c r="AG379" s="291"/>
      <c r="AH379" s="292"/>
      <c r="AI379" s="289" t="s">
        <v>10</v>
      </c>
      <c r="AJ379" s="289"/>
      <c r="AK379" s="289"/>
      <c r="AL379" s="289"/>
      <c r="AM379" s="289"/>
      <c r="AN379" s="289"/>
      <c r="AO379" s="3"/>
      <c r="AP379" s="3"/>
      <c r="AQ379" s="3"/>
    </row>
    <row r="380" spans="1:43" x14ac:dyDescent="0.25">
      <c r="F380" s="391"/>
      <c r="G380" s="392"/>
      <c r="H380" s="308" t="s">
        <v>11</v>
      </c>
      <c r="I380" s="293"/>
      <c r="J380" s="293"/>
      <c r="K380" s="294" t="s">
        <v>12</v>
      </c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  <c r="AC380" s="294"/>
      <c r="AD380" s="294"/>
      <c r="AE380" s="294"/>
      <c r="AF380" s="294"/>
      <c r="AG380" s="294"/>
      <c r="AH380" s="295"/>
      <c r="AI380" s="289"/>
      <c r="AJ380" s="289"/>
      <c r="AK380" s="289"/>
      <c r="AL380" s="289"/>
      <c r="AM380" s="289"/>
      <c r="AN380" s="289"/>
      <c r="AO380" s="2"/>
      <c r="AP380" s="2"/>
      <c r="AQ380" s="2"/>
    </row>
    <row r="381" spans="1:43" ht="18.75" x14ac:dyDescent="0.25">
      <c r="A381" s="7" t="s">
        <v>15</v>
      </c>
      <c r="B381" s="8" t="s">
        <v>16</v>
      </c>
      <c r="C381" s="9" t="s">
        <v>17</v>
      </c>
      <c r="D381" s="9" t="s">
        <v>18</v>
      </c>
      <c r="E381" s="9" t="s">
        <v>19</v>
      </c>
      <c r="F381" s="10" t="s">
        <v>20</v>
      </c>
      <c r="G381" s="7" t="s">
        <v>21</v>
      </c>
      <c r="H381" s="7" t="s">
        <v>22</v>
      </c>
      <c r="I381" s="7" t="s">
        <v>23</v>
      </c>
      <c r="J381" s="247" t="s">
        <v>132</v>
      </c>
      <c r="K381" s="247" t="s">
        <v>133</v>
      </c>
      <c r="L381" s="247" t="s">
        <v>134</v>
      </c>
      <c r="M381" s="247" t="s">
        <v>135</v>
      </c>
      <c r="N381" s="247" t="s">
        <v>136</v>
      </c>
      <c r="O381" s="247" t="s">
        <v>137</v>
      </c>
      <c r="P381" s="155" t="s">
        <v>138</v>
      </c>
      <c r="Q381" s="155" t="s">
        <v>139</v>
      </c>
      <c r="R381" s="247" t="s">
        <v>140</v>
      </c>
      <c r="S381" s="247" t="s">
        <v>141</v>
      </c>
      <c r="T381" s="247" t="s">
        <v>142</v>
      </c>
      <c r="U381" s="247" t="s">
        <v>143</v>
      </c>
      <c r="V381" s="247" t="s">
        <v>144</v>
      </c>
      <c r="W381" s="155" t="s">
        <v>145</v>
      </c>
      <c r="X381" s="155" t="s">
        <v>146</v>
      </c>
      <c r="Y381" s="247" t="s">
        <v>147</v>
      </c>
      <c r="Z381" s="247" t="s">
        <v>148</v>
      </c>
      <c r="AA381" s="247" t="s">
        <v>149</v>
      </c>
      <c r="AB381" s="247" t="s">
        <v>150</v>
      </c>
      <c r="AC381" s="247" t="s">
        <v>151</v>
      </c>
      <c r="AD381" s="155" t="s">
        <v>152</v>
      </c>
      <c r="AE381" s="247" t="s">
        <v>153</v>
      </c>
      <c r="AF381" s="247" t="s">
        <v>154</v>
      </c>
      <c r="AG381" s="247" t="s">
        <v>155</v>
      </c>
      <c r="AH381" s="248" t="s">
        <v>156</v>
      </c>
      <c r="AI381" s="247" t="s">
        <v>157</v>
      </c>
      <c r="AJ381" s="247" t="s">
        <v>158</v>
      </c>
      <c r="AK381" s="155" t="s">
        <v>159</v>
      </c>
      <c r="AL381" s="155" t="s">
        <v>160</v>
      </c>
      <c r="AM381" s="247" t="s">
        <v>161</v>
      </c>
      <c r="AN381" s="249" t="s">
        <v>162</v>
      </c>
      <c r="AO381" s="11" t="s">
        <v>24</v>
      </c>
      <c r="AP381" s="11" t="s">
        <v>25</v>
      </c>
      <c r="AQ381" s="11" t="s">
        <v>26</v>
      </c>
    </row>
    <row r="382" spans="1:43" x14ac:dyDescent="0.25">
      <c r="F382" s="1"/>
      <c r="G382" s="1"/>
      <c r="H382" s="15">
        <v>2026</v>
      </c>
      <c r="I382" s="15" t="s">
        <v>163</v>
      </c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  <c r="AH382" s="193"/>
      <c r="AI382" s="193"/>
      <c r="AJ382" s="193"/>
      <c r="AK382" s="193"/>
      <c r="AL382" s="193"/>
      <c r="AM382" s="193"/>
      <c r="AN382" s="184"/>
      <c r="AO382" s="16">
        <f>COUNTIF(Tabla13234445[[#This Row],[1L]:[Columna1]],"D12")</f>
        <v>0</v>
      </c>
      <c r="AP382" s="17">
        <f>COUNTIF(Tabla13234445[[#This Row],[1L]:[Columna1]],"N12")</f>
        <v>0</v>
      </c>
      <c r="AQ382" s="18">
        <f>COUNTBLANK(Tabla13234445[[#This Row],[1L]:[Columna1]])</f>
        <v>31</v>
      </c>
    </row>
    <row r="383" spans="1:43" x14ac:dyDescent="0.25">
      <c r="F383" s="1"/>
      <c r="G383" s="1"/>
      <c r="H383" s="15">
        <v>2026</v>
      </c>
      <c r="I383" s="15" t="s">
        <v>163</v>
      </c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  <c r="AH383" s="193"/>
      <c r="AI383" s="193"/>
      <c r="AJ383" s="193"/>
      <c r="AK383" s="193"/>
      <c r="AL383" s="193"/>
      <c r="AM383" s="193"/>
      <c r="AN383" s="192"/>
      <c r="AO383" s="17">
        <f>COUNTIF(Tabla13234445[[#This Row],[1L]:[Columna1]],"D12")</f>
        <v>0</v>
      </c>
      <c r="AP383" s="17">
        <f>COUNTIF(Tabla13234445[[#This Row],[1L]:[Columna1]],"N12")</f>
        <v>0</v>
      </c>
      <c r="AQ383" s="18">
        <f>COUNTBLANK(Tabla13234445[[#This Row],[1L]:[Columna1]])</f>
        <v>31</v>
      </c>
    </row>
    <row r="384" spans="1:43" x14ac:dyDescent="0.25">
      <c r="F384" s="1"/>
      <c r="G384" s="1"/>
      <c r="H384" s="15">
        <v>2026</v>
      </c>
      <c r="I384" s="15" t="s">
        <v>163</v>
      </c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  <c r="AL384" s="193"/>
      <c r="AM384" s="193"/>
      <c r="AN384" s="192"/>
      <c r="AO384" s="17">
        <f>COUNTIF(Tabla13234445[[#This Row],[1L]:[Columna1]],"D12")</f>
        <v>0</v>
      </c>
      <c r="AP384" s="17">
        <f>COUNTIF(Tabla13234445[[#This Row],[1L]:[Columna1]],"N12")</f>
        <v>0</v>
      </c>
      <c r="AQ384" s="18">
        <f>COUNTBLANK(Tabla13234445[[#This Row],[1L]:[Columna1]])</f>
        <v>31</v>
      </c>
    </row>
    <row r="385" spans="6:43" x14ac:dyDescent="0.25">
      <c r="F385" s="36"/>
      <c r="G385" s="36"/>
      <c r="H385" s="15">
        <v>2026</v>
      </c>
      <c r="I385" s="15" t="s">
        <v>163</v>
      </c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  <c r="AH385" s="193"/>
      <c r="AI385" s="193"/>
      <c r="AJ385" s="193"/>
      <c r="AK385" s="193"/>
      <c r="AL385" s="193"/>
      <c r="AM385" s="193"/>
      <c r="AN385" s="192"/>
      <c r="AO385" s="17">
        <f>COUNTIF(Tabla13234445[[#This Row],[1L]:[Columna1]],"D12")</f>
        <v>0</v>
      </c>
      <c r="AP385" s="17">
        <f>COUNTIF(Tabla13234445[[#This Row],[1L]:[Columna1]],"N12")</f>
        <v>0</v>
      </c>
      <c r="AQ385" s="18">
        <f>COUNTBLANK(Tabla13234445[[#This Row],[1L]:[Columna1]])</f>
        <v>31</v>
      </c>
    </row>
    <row r="386" spans="6:43" x14ac:dyDescent="0.25">
      <c r="F386" s="1"/>
      <c r="G386" s="1"/>
      <c r="H386" s="15">
        <v>2026</v>
      </c>
      <c r="I386" s="15" t="s">
        <v>163</v>
      </c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  <c r="AH386" s="193"/>
      <c r="AI386" s="193"/>
      <c r="AJ386" s="193"/>
      <c r="AK386" s="193"/>
      <c r="AL386" s="193"/>
      <c r="AM386" s="193"/>
      <c r="AN386" s="192"/>
      <c r="AO386" s="17">
        <f>COUNTIF(Tabla13234445[[#This Row],[1L]:[Columna1]],"D12")</f>
        <v>0</v>
      </c>
      <c r="AP386" s="17">
        <f>COUNTIF(Tabla13234445[[#This Row],[1L]:[Columna1]],"N12")</f>
        <v>0</v>
      </c>
      <c r="AQ386" s="18">
        <f>COUNTBLANK(Tabla13234445[[#This Row],[1L]:[Columna1]])</f>
        <v>31</v>
      </c>
    </row>
    <row r="387" spans="6:43" x14ac:dyDescent="0.25">
      <c r="F387" s="1"/>
      <c r="G387" s="1"/>
      <c r="H387" s="15">
        <v>2026</v>
      </c>
      <c r="I387" s="15" t="s">
        <v>163</v>
      </c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  <c r="AH387" s="193"/>
      <c r="AI387" s="193"/>
      <c r="AJ387" s="193"/>
      <c r="AK387" s="193"/>
      <c r="AL387" s="193"/>
      <c r="AM387" s="193"/>
      <c r="AN387" s="192"/>
      <c r="AO387" s="17">
        <f>COUNTIF(Tabla13234445[[#This Row],[1L]:[Columna1]],"D12")</f>
        <v>0</v>
      </c>
      <c r="AP387" s="17">
        <f>COUNTIF(Tabla13234445[[#This Row],[1L]:[Columna1]],"N12")</f>
        <v>0</v>
      </c>
      <c r="AQ387" s="18">
        <f>COUNTBLANK(Tabla13234445[[#This Row],[1L]:[Columna1]])</f>
        <v>31</v>
      </c>
    </row>
    <row r="388" spans="6:43" x14ac:dyDescent="0.25">
      <c r="F388" s="1"/>
      <c r="G388" s="1"/>
      <c r="H388" s="15">
        <v>2026</v>
      </c>
      <c r="I388" s="15" t="s">
        <v>163</v>
      </c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  <c r="AH388" s="193"/>
      <c r="AI388" s="193"/>
      <c r="AJ388" s="193"/>
      <c r="AK388" s="193"/>
      <c r="AL388" s="193"/>
      <c r="AM388" s="193"/>
      <c r="AN388" s="184"/>
      <c r="AO388" s="17">
        <f>COUNTIF(Tabla13234445[[#This Row],[1L]:[Columna1]],"D12")</f>
        <v>0</v>
      </c>
      <c r="AP388" s="17">
        <f>COUNTIF(Tabla13234445[[#This Row],[1L]:[Columna1]],"N12")</f>
        <v>0</v>
      </c>
      <c r="AQ388" s="18">
        <f>COUNTBLANK(Tabla13234445[[#This Row],[1L]:[Columna1]])</f>
        <v>31</v>
      </c>
    </row>
    <row r="389" spans="6:43" x14ac:dyDescent="0.25">
      <c r="F389" s="36"/>
      <c r="G389" s="36"/>
      <c r="H389" s="15">
        <v>2026</v>
      </c>
      <c r="I389" s="15" t="s">
        <v>163</v>
      </c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  <c r="AH389" s="193"/>
      <c r="AI389" s="193"/>
      <c r="AJ389" s="193"/>
      <c r="AK389" s="193"/>
      <c r="AL389" s="193"/>
      <c r="AM389" s="193"/>
      <c r="AN389" s="184"/>
      <c r="AO389" s="17">
        <f>COUNTIF(Tabla13234445[[#This Row],[1L]:[Columna1]],"D12")</f>
        <v>0</v>
      </c>
      <c r="AP389" s="17">
        <f>COUNTIF(Tabla13234445[[#This Row],[1L]:[Columna1]],"N12")</f>
        <v>0</v>
      </c>
      <c r="AQ389" s="27">
        <f>COUNTBLANK(Tabla13234445[[#This Row],[1L]:[Columna1]])</f>
        <v>31</v>
      </c>
    </row>
    <row r="390" spans="6:43" ht="18.75" x14ac:dyDescent="0.25">
      <c r="F390" s="32"/>
      <c r="G390" s="1"/>
      <c r="H390" s="15">
        <v>2026</v>
      </c>
      <c r="I390" s="15" t="s">
        <v>163</v>
      </c>
      <c r="J390" s="150">
        <f t="shared" ref="J390:AN390" si="22">COUNTIF(J382:J389,"D12")</f>
        <v>0</v>
      </c>
      <c r="K390" s="150">
        <f t="shared" si="22"/>
        <v>0</v>
      </c>
      <c r="L390" s="150">
        <f t="shared" si="22"/>
        <v>0</v>
      </c>
      <c r="M390" s="150">
        <f t="shared" si="22"/>
        <v>0</v>
      </c>
      <c r="N390" s="150">
        <f t="shared" si="22"/>
        <v>0</v>
      </c>
      <c r="O390" s="150">
        <f t="shared" si="22"/>
        <v>0</v>
      </c>
      <c r="P390" s="150">
        <f t="shared" si="22"/>
        <v>0</v>
      </c>
      <c r="Q390" s="150">
        <f t="shared" si="22"/>
        <v>0</v>
      </c>
      <c r="R390" s="150">
        <f t="shared" si="22"/>
        <v>0</v>
      </c>
      <c r="S390" s="150">
        <f t="shared" si="22"/>
        <v>0</v>
      </c>
      <c r="T390" s="150">
        <f t="shared" si="22"/>
        <v>0</v>
      </c>
      <c r="U390" s="150">
        <f t="shared" si="22"/>
        <v>0</v>
      </c>
      <c r="V390" s="150">
        <f t="shared" si="22"/>
        <v>0</v>
      </c>
      <c r="W390" s="150">
        <f t="shared" si="22"/>
        <v>0</v>
      </c>
      <c r="X390" s="150">
        <f t="shared" si="22"/>
        <v>0</v>
      </c>
      <c r="Y390" s="150">
        <f t="shared" si="22"/>
        <v>0</v>
      </c>
      <c r="Z390" s="150">
        <f t="shared" si="22"/>
        <v>0</v>
      </c>
      <c r="AA390" s="150">
        <f t="shared" si="22"/>
        <v>0</v>
      </c>
      <c r="AB390" s="150">
        <f t="shared" si="22"/>
        <v>0</v>
      </c>
      <c r="AC390" s="150">
        <f t="shared" si="22"/>
        <v>0</v>
      </c>
      <c r="AD390" s="150">
        <f t="shared" si="22"/>
        <v>0</v>
      </c>
      <c r="AE390" s="150">
        <f t="shared" si="22"/>
        <v>0</v>
      </c>
      <c r="AF390" s="150">
        <f t="shared" si="22"/>
        <v>0</v>
      </c>
      <c r="AG390" s="150">
        <f t="shared" si="22"/>
        <v>0</v>
      </c>
      <c r="AH390" s="150">
        <f t="shared" si="22"/>
        <v>0</v>
      </c>
      <c r="AI390" s="150">
        <f t="shared" si="22"/>
        <v>0</v>
      </c>
      <c r="AJ390" s="150">
        <f t="shared" si="22"/>
        <v>0</v>
      </c>
      <c r="AK390" s="150">
        <f t="shared" si="22"/>
        <v>0</v>
      </c>
      <c r="AL390" s="150">
        <f t="shared" si="22"/>
        <v>0</v>
      </c>
      <c r="AM390" s="150">
        <f t="shared" si="22"/>
        <v>0</v>
      </c>
      <c r="AN390" s="150">
        <f t="shared" si="22"/>
        <v>0</v>
      </c>
      <c r="AO390" s="33"/>
      <c r="AP390" s="33"/>
      <c r="AQ390" s="34"/>
    </row>
    <row r="391" spans="6:43" ht="18.75" x14ac:dyDescent="0.25">
      <c r="F391" s="35"/>
      <c r="G391" s="36"/>
      <c r="H391" s="15">
        <v>2026</v>
      </c>
      <c r="I391" s="15" t="s">
        <v>163</v>
      </c>
      <c r="J391" s="151">
        <f t="shared" ref="J391:AN391" si="23">COUNTIF(J382:J389,"N12")</f>
        <v>0</v>
      </c>
      <c r="K391" s="151">
        <f t="shared" si="23"/>
        <v>0</v>
      </c>
      <c r="L391" s="151">
        <f t="shared" si="23"/>
        <v>0</v>
      </c>
      <c r="M391" s="151">
        <f t="shared" si="23"/>
        <v>0</v>
      </c>
      <c r="N391" s="151">
        <f t="shared" si="23"/>
        <v>0</v>
      </c>
      <c r="O391" s="151">
        <f t="shared" si="23"/>
        <v>0</v>
      </c>
      <c r="P391" s="151">
        <f t="shared" si="23"/>
        <v>0</v>
      </c>
      <c r="Q391" s="151">
        <f t="shared" si="23"/>
        <v>0</v>
      </c>
      <c r="R391" s="151">
        <f t="shared" si="23"/>
        <v>0</v>
      </c>
      <c r="S391" s="151">
        <f t="shared" si="23"/>
        <v>0</v>
      </c>
      <c r="T391" s="151">
        <f t="shared" si="23"/>
        <v>0</v>
      </c>
      <c r="U391" s="151">
        <f t="shared" si="23"/>
        <v>0</v>
      </c>
      <c r="V391" s="151">
        <f t="shared" si="23"/>
        <v>0</v>
      </c>
      <c r="W391" s="151">
        <f t="shared" si="23"/>
        <v>0</v>
      </c>
      <c r="X391" s="151">
        <f t="shared" si="23"/>
        <v>0</v>
      </c>
      <c r="Y391" s="151">
        <f t="shared" si="23"/>
        <v>0</v>
      </c>
      <c r="Z391" s="151">
        <f t="shared" si="23"/>
        <v>0</v>
      </c>
      <c r="AA391" s="151">
        <f t="shared" si="23"/>
        <v>0</v>
      </c>
      <c r="AB391" s="151">
        <f t="shared" si="23"/>
        <v>0</v>
      </c>
      <c r="AC391" s="151">
        <f t="shared" si="23"/>
        <v>0</v>
      </c>
      <c r="AD391" s="151">
        <f t="shared" si="23"/>
        <v>0</v>
      </c>
      <c r="AE391" s="151">
        <f t="shared" si="23"/>
        <v>0</v>
      </c>
      <c r="AF391" s="151">
        <f t="shared" si="23"/>
        <v>0</v>
      </c>
      <c r="AG391" s="151">
        <f t="shared" si="23"/>
        <v>0</v>
      </c>
      <c r="AH391" s="151">
        <f t="shared" si="23"/>
        <v>0</v>
      </c>
      <c r="AI391" s="151">
        <f t="shared" si="23"/>
        <v>0</v>
      </c>
      <c r="AJ391" s="151">
        <f t="shared" si="23"/>
        <v>0</v>
      </c>
      <c r="AK391" s="151">
        <f t="shared" si="23"/>
        <v>0</v>
      </c>
      <c r="AL391" s="151">
        <f t="shared" si="23"/>
        <v>0</v>
      </c>
      <c r="AM391" s="151">
        <f t="shared" si="23"/>
        <v>0</v>
      </c>
      <c r="AN391" s="151">
        <f t="shared" si="23"/>
        <v>0</v>
      </c>
      <c r="AO391" s="38"/>
      <c r="AP391" s="38"/>
      <c r="AQ391" s="34"/>
    </row>
    <row r="393" spans="6:43" x14ac:dyDescent="0.25">
      <c r="H393" s="301" t="s">
        <v>36</v>
      </c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3"/>
    </row>
    <row r="394" spans="6:43" x14ac:dyDescent="0.25">
      <c r="H394" s="304" t="s">
        <v>37</v>
      </c>
      <c r="I394" s="305"/>
      <c r="J394" s="305"/>
      <c r="K394" s="305"/>
      <c r="L394" s="305"/>
      <c r="M394" s="305"/>
      <c r="N394" s="305"/>
      <c r="O394" s="305"/>
      <c r="P394" s="305"/>
      <c r="Q394" s="305"/>
      <c r="R394" s="305"/>
      <c r="S394" s="305"/>
      <c r="T394" s="305"/>
      <c r="U394" s="305"/>
      <c r="V394" s="305"/>
      <c r="W394" s="305"/>
      <c r="X394" s="305"/>
      <c r="Y394" s="305"/>
      <c r="Z394" s="305"/>
      <c r="AA394" s="306"/>
    </row>
    <row r="395" spans="6:43" x14ac:dyDescent="0.25">
      <c r="H395" s="304" t="s">
        <v>38</v>
      </c>
      <c r="I395" s="305"/>
      <c r="J395" s="305"/>
      <c r="K395" s="305"/>
      <c r="L395" s="305"/>
      <c r="M395" s="305"/>
      <c r="N395" s="305"/>
      <c r="O395" s="305"/>
      <c r="P395" s="305"/>
      <c r="Q395" s="305"/>
      <c r="R395" s="305"/>
      <c r="S395" s="305"/>
      <c r="T395" s="305"/>
      <c r="U395" s="305"/>
      <c r="V395" s="305"/>
      <c r="W395" s="305"/>
      <c r="X395" s="305"/>
      <c r="Y395" s="305"/>
      <c r="Z395" s="305"/>
      <c r="AA395" s="306"/>
    </row>
    <row r="397" spans="6:43" x14ac:dyDescent="0.25">
      <c r="H397" s="55"/>
      <c r="I397" s="279" t="s">
        <v>39</v>
      </c>
      <c r="J397" s="280"/>
      <c r="K397" s="280"/>
      <c r="L397" s="281"/>
      <c r="M397" s="56"/>
      <c r="N397" s="279" t="s">
        <v>40</v>
      </c>
      <c r="O397" s="280"/>
      <c r="P397" s="280"/>
      <c r="Q397" s="280"/>
      <c r="R397" s="281"/>
    </row>
    <row r="398" spans="6:43" x14ac:dyDescent="0.25">
      <c r="H398" s="46" t="s">
        <v>32</v>
      </c>
      <c r="I398" s="279" t="s">
        <v>41</v>
      </c>
      <c r="J398" s="280"/>
      <c r="K398" s="280"/>
      <c r="L398" s="281"/>
      <c r="M398" s="47" t="s">
        <v>42</v>
      </c>
      <c r="N398" s="279" t="s">
        <v>43</v>
      </c>
      <c r="O398" s="280"/>
      <c r="P398" s="280"/>
      <c r="Q398" s="280"/>
      <c r="R398" s="281"/>
    </row>
    <row r="399" spans="6:43" x14ac:dyDescent="0.25">
      <c r="H399" s="48" t="s">
        <v>44</v>
      </c>
      <c r="I399" s="279" t="s">
        <v>45</v>
      </c>
      <c r="J399" s="280"/>
      <c r="K399" s="280"/>
      <c r="L399" s="281"/>
      <c r="M399" s="49" t="s">
        <v>46</v>
      </c>
      <c r="N399" s="279" t="s">
        <v>47</v>
      </c>
      <c r="O399" s="280"/>
      <c r="P399" s="280"/>
      <c r="Q399" s="280"/>
      <c r="R399" s="281"/>
    </row>
    <row r="400" spans="6:43" x14ac:dyDescent="0.25">
      <c r="H400" s="1" t="s">
        <v>48</v>
      </c>
      <c r="I400" s="279" t="s">
        <v>49</v>
      </c>
      <c r="J400" s="280"/>
      <c r="K400" s="280"/>
      <c r="L400" s="281"/>
      <c r="M400" s="39" t="s">
        <v>50</v>
      </c>
      <c r="N400" s="279" t="s">
        <v>51</v>
      </c>
      <c r="O400" s="280"/>
      <c r="P400" s="280"/>
      <c r="Q400" s="280"/>
      <c r="R400" s="281"/>
    </row>
    <row r="401" spans="6:43" x14ac:dyDescent="0.25">
      <c r="H401" s="1" t="s">
        <v>29</v>
      </c>
      <c r="I401" s="299" t="s">
        <v>52</v>
      </c>
      <c r="J401" s="299"/>
      <c r="K401" s="299"/>
      <c r="L401" s="299"/>
      <c r="M401" s="1" t="s">
        <v>53</v>
      </c>
      <c r="N401" s="299" t="s">
        <v>54</v>
      </c>
      <c r="O401" s="299"/>
      <c r="P401" s="299"/>
      <c r="Q401" s="299"/>
      <c r="R401" s="299"/>
    </row>
    <row r="402" spans="6:43" x14ac:dyDescent="0.25">
      <c r="H402" s="1" t="s">
        <v>28</v>
      </c>
      <c r="I402" s="299" t="s">
        <v>55</v>
      </c>
      <c r="J402" s="299"/>
      <c r="K402" s="299"/>
      <c r="L402" s="299"/>
      <c r="M402" s="1" t="s">
        <v>31</v>
      </c>
      <c r="N402" s="299" t="s">
        <v>56</v>
      </c>
      <c r="O402" s="299"/>
      <c r="P402" s="299"/>
      <c r="Q402" s="299"/>
      <c r="R402" s="299"/>
    </row>
    <row r="414" spans="6:43" x14ac:dyDescent="0.25">
      <c r="F414" s="387"/>
      <c r="G414" s="388"/>
      <c r="H414" s="309" t="s">
        <v>1</v>
      </c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  <c r="AA414" s="310"/>
      <c r="AB414" s="310"/>
      <c r="AC414" s="310"/>
      <c r="AD414" s="310"/>
      <c r="AE414" s="310"/>
      <c r="AF414" s="310"/>
      <c r="AG414" s="310"/>
      <c r="AH414" s="311"/>
      <c r="AI414" s="289" t="s">
        <v>2</v>
      </c>
      <c r="AJ414" s="289"/>
      <c r="AK414" s="289"/>
      <c r="AL414" s="289"/>
      <c r="AM414" s="289"/>
      <c r="AN414" s="289"/>
      <c r="AO414" s="3"/>
      <c r="AP414" s="3"/>
      <c r="AQ414" s="3"/>
    </row>
    <row r="415" spans="6:43" x14ac:dyDescent="0.25">
      <c r="F415" s="389"/>
      <c r="G415" s="390"/>
      <c r="H415" s="343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  <c r="AA415" s="344"/>
      <c r="AB415" s="344"/>
      <c r="AC415" s="344"/>
      <c r="AD415" s="344"/>
      <c r="AE415" s="344"/>
      <c r="AF415" s="344"/>
      <c r="AG415" s="344"/>
      <c r="AH415" s="345"/>
      <c r="AI415" s="289"/>
      <c r="AJ415" s="289"/>
      <c r="AK415" s="289"/>
      <c r="AL415" s="289"/>
      <c r="AM415" s="289"/>
      <c r="AN415" s="289"/>
      <c r="AO415" s="3"/>
      <c r="AP415" s="3"/>
      <c r="AQ415" s="3"/>
    </row>
    <row r="416" spans="6:43" x14ac:dyDescent="0.25">
      <c r="F416" s="389"/>
      <c r="G416" s="390"/>
      <c r="H416" s="307" t="s">
        <v>3</v>
      </c>
      <c r="I416" s="290"/>
      <c r="J416" s="290"/>
      <c r="K416" s="291" t="s">
        <v>4</v>
      </c>
      <c r="L416" s="291"/>
      <c r="M416" s="291"/>
      <c r="N416" s="291"/>
      <c r="O416" s="291"/>
      <c r="P416" s="291"/>
      <c r="Q416" s="291"/>
      <c r="R416" s="291"/>
      <c r="S416" s="291"/>
      <c r="T416" s="291"/>
      <c r="U416" s="291"/>
      <c r="V416" s="291"/>
      <c r="W416" s="291"/>
      <c r="X416" s="291"/>
      <c r="Y416" s="291"/>
      <c r="Z416" s="291"/>
      <c r="AA416" s="291"/>
      <c r="AB416" s="291"/>
      <c r="AC416" s="291"/>
      <c r="AD416" s="291"/>
      <c r="AE416" s="291"/>
      <c r="AF416" s="291"/>
      <c r="AG416" s="291"/>
      <c r="AH416" s="292"/>
      <c r="AI416" s="289" t="s">
        <v>5</v>
      </c>
      <c r="AJ416" s="289"/>
      <c r="AK416" s="289"/>
      <c r="AL416" s="289"/>
      <c r="AM416" s="289"/>
      <c r="AN416" s="289"/>
      <c r="AO416" s="3"/>
      <c r="AP416" s="3"/>
      <c r="AQ416" s="3"/>
    </row>
    <row r="417" spans="1:43" x14ac:dyDescent="0.25">
      <c r="F417" s="389"/>
      <c r="G417" s="390"/>
      <c r="H417" s="5" t="s">
        <v>6</v>
      </c>
      <c r="I417" s="6"/>
      <c r="J417" s="6"/>
      <c r="K417" s="291" t="s">
        <v>7</v>
      </c>
      <c r="L417" s="291"/>
      <c r="M417" s="291"/>
      <c r="N417" s="291"/>
      <c r="O417" s="291"/>
      <c r="P417" s="291"/>
      <c r="Q417" s="291"/>
      <c r="R417" s="291"/>
      <c r="S417" s="291"/>
      <c r="T417" s="291"/>
      <c r="U417" s="291"/>
      <c r="V417" s="291"/>
      <c r="W417" s="291"/>
      <c r="X417" s="291"/>
      <c r="Y417" s="291"/>
      <c r="Z417" s="291"/>
      <c r="AA417" s="291"/>
      <c r="AB417" s="291"/>
      <c r="AC417" s="291"/>
      <c r="AD417" s="291"/>
      <c r="AE417" s="291"/>
      <c r="AF417" s="291"/>
      <c r="AG417" s="291"/>
      <c r="AH417" s="292"/>
      <c r="AI417" s="289"/>
      <c r="AJ417" s="289"/>
      <c r="AK417" s="289"/>
      <c r="AL417" s="289"/>
      <c r="AM417" s="289"/>
      <c r="AN417" s="289"/>
      <c r="AO417" s="3"/>
      <c r="AP417" s="3"/>
      <c r="AQ417" s="3"/>
    </row>
    <row r="418" spans="1:43" x14ac:dyDescent="0.25">
      <c r="F418" s="389"/>
      <c r="G418" s="390"/>
      <c r="H418" s="307" t="s">
        <v>8</v>
      </c>
      <c r="I418" s="290"/>
      <c r="J418" s="290"/>
      <c r="K418" s="291" t="s">
        <v>9</v>
      </c>
      <c r="L418" s="291"/>
      <c r="M418" s="291"/>
      <c r="N418" s="291"/>
      <c r="O418" s="291"/>
      <c r="P418" s="291"/>
      <c r="Q418" s="291"/>
      <c r="R418" s="291"/>
      <c r="S418" s="291"/>
      <c r="T418" s="291"/>
      <c r="U418" s="291"/>
      <c r="V418" s="291"/>
      <c r="W418" s="291"/>
      <c r="X418" s="291"/>
      <c r="Y418" s="291"/>
      <c r="Z418" s="291"/>
      <c r="AA418" s="291"/>
      <c r="AB418" s="291"/>
      <c r="AC418" s="291"/>
      <c r="AD418" s="291"/>
      <c r="AE418" s="291"/>
      <c r="AF418" s="291"/>
      <c r="AG418" s="291"/>
      <c r="AH418" s="292"/>
      <c r="AI418" s="289" t="s">
        <v>10</v>
      </c>
      <c r="AJ418" s="289"/>
      <c r="AK418" s="289"/>
      <c r="AL418" s="289"/>
      <c r="AM418" s="289"/>
      <c r="AN418" s="289"/>
      <c r="AO418" s="3"/>
      <c r="AP418" s="3"/>
      <c r="AQ418" s="3"/>
    </row>
    <row r="419" spans="1:43" x14ac:dyDescent="0.25">
      <c r="F419" s="391"/>
      <c r="G419" s="392"/>
      <c r="H419" s="308" t="s">
        <v>11</v>
      </c>
      <c r="I419" s="293"/>
      <c r="J419" s="293"/>
      <c r="K419" s="294" t="s">
        <v>12</v>
      </c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  <c r="AC419" s="294"/>
      <c r="AD419" s="294"/>
      <c r="AE419" s="294"/>
      <c r="AF419" s="294"/>
      <c r="AG419" s="294"/>
      <c r="AH419" s="295"/>
      <c r="AI419" s="289"/>
      <c r="AJ419" s="289"/>
      <c r="AK419" s="289"/>
      <c r="AL419" s="289"/>
      <c r="AM419" s="289"/>
      <c r="AN419" s="289"/>
      <c r="AO419" s="2"/>
      <c r="AP419" s="2"/>
      <c r="AQ419" s="2"/>
    </row>
    <row r="420" spans="1:43" ht="18.75" x14ac:dyDescent="0.25">
      <c r="A420" s="7" t="s">
        <v>15</v>
      </c>
      <c r="B420" s="8" t="s">
        <v>16</v>
      </c>
      <c r="C420" s="9" t="s">
        <v>17</v>
      </c>
      <c r="D420" s="9" t="s">
        <v>18</v>
      </c>
      <c r="E420" s="9" t="s">
        <v>19</v>
      </c>
      <c r="F420" s="10" t="s">
        <v>20</v>
      </c>
      <c r="G420" s="7" t="s">
        <v>21</v>
      </c>
      <c r="H420" s="7" t="s">
        <v>22</v>
      </c>
      <c r="I420" s="7" t="s">
        <v>23</v>
      </c>
      <c r="J420" s="247" t="s">
        <v>132</v>
      </c>
      <c r="K420" s="247" t="s">
        <v>133</v>
      </c>
      <c r="L420" s="247" t="s">
        <v>134</v>
      </c>
      <c r="M420" s="247" t="s">
        <v>135</v>
      </c>
      <c r="N420" s="247" t="s">
        <v>136</v>
      </c>
      <c r="O420" s="247" t="s">
        <v>137</v>
      </c>
      <c r="P420" s="155" t="s">
        <v>138</v>
      </c>
      <c r="Q420" s="155" t="s">
        <v>139</v>
      </c>
      <c r="R420" s="247" t="s">
        <v>140</v>
      </c>
      <c r="S420" s="247" t="s">
        <v>141</v>
      </c>
      <c r="T420" s="247" t="s">
        <v>142</v>
      </c>
      <c r="U420" s="247" t="s">
        <v>143</v>
      </c>
      <c r="V420" s="247" t="s">
        <v>144</v>
      </c>
      <c r="W420" s="155" t="s">
        <v>145</v>
      </c>
      <c r="X420" s="155" t="s">
        <v>146</v>
      </c>
      <c r="Y420" s="247" t="s">
        <v>147</v>
      </c>
      <c r="Z420" s="247" t="s">
        <v>148</v>
      </c>
      <c r="AA420" s="247" t="s">
        <v>149</v>
      </c>
      <c r="AB420" s="247" t="s">
        <v>150</v>
      </c>
      <c r="AC420" s="247" t="s">
        <v>151</v>
      </c>
      <c r="AD420" s="155" t="s">
        <v>152</v>
      </c>
      <c r="AE420" s="247" t="s">
        <v>153</v>
      </c>
      <c r="AF420" s="247" t="s">
        <v>154</v>
      </c>
      <c r="AG420" s="247" t="s">
        <v>155</v>
      </c>
      <c r="AH420" s="248" t="s">
        <v>156</v>
      </c>
      <c r="AI420" s="247" t="s">
        <v>157</v>
      </c>
      <c r="AJ420" s="247" t="s">
        <v>158</v>
      </c>
      <c r="AK420" s="155" t="s">
        <v>159</v>
      </c>
      <c r="AL420" s="155" t="s">
        <v>160</v>
      </c>
      <c r="AM420" s="247" t="s">
        <v>161</v>
      </c>
      <c r="AN420" s="249" t="s">
        <v>162</v>
      </c>
      <c r="AO420" s="11" t="s">
        <v>24</v>
      </c>
      <c r="AP420" s="11" t="s">
        <v>25</v>
      </c>
      <c r="AQ420" s="11" t="s">
        <v>26</v>
      </c>
    </row>
    <row r="421" spans="1:43" x14ac:dyDescent="0.25">
      <c r="F421" s="32"/>
      <c r="G421" s="1"/>
      <c r="H421" s="15">
        <v>2026</v>
      </c>
      <c r="I421" s="15" t="s">
        <v>163</v>
      </c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  <c r="AH421" s="193"/>
      <c r="AI421" s="193"/>
      <c r="AJ421" s="193"/>
      <c r="AK421" s="193"/>
      <c r="AL421" s="193"/>
      <c r="AM421" s="193"/>
      <c r="AN421" s="192"/>
      <c r="AO421" s="16">
        <f>COUNTIF(Tabla13234446[[#This Row],[1L]:[Columna1]],"D12")</f>
        <v>0</v>
      </c>
      <c r="AP421" s="17">
        <f>COUNTIF(Tabla13234446[[#This Row],[1L]:[Columna1]],"N12")</f>
        <v>0</v>
      </c>
      <c r="AQ421" s="18">
        <f>COUNTBLANK(Tabla13234446[[#This Row],[1L]:[Columna1]])</f>
        <v>31</v>
      </c>
    </row>
    <row r="422" spans="1:43" x14ac:dyDescent="0.25">
      <c r="F422" s="32"/>
      <c r="G422" s="1"/>
      <c r="H422" s="15">
        <v>2026</v>
      </c>
      <c r="I422" s="15" t="s">
        <v>163</v>
      </c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  <c r="AH422" s="193"/>
      <c r="AI422" s="193"/>
      <c r="AJ422" s="193"/>
      <c r="AK422" s="193"/>
      <c r="AL422" s="193"/>
      <c r="AM422" s="193"/>
      <c r="AN422" s="192"/>
      <c r="AO422" s="17">
        <f>COUNTIF(Tabla13234446[[#This Row],[1L]:[Columna1]],"D12")</f>
        <v>0</v>
      </c>
      <c r="AP422" s="17">
        <f>COUNTIF(Tabla13234446[[#This Row],[1L]:[Columna1]],"N12")</f>
        <v>0</v>
      </c>
      <c r="AQ422" s="18">
        <f>COUNTBLANK(Tabla13234446[[#This Row],[1L]:[Columna1]])</f>
        <v>31</v>
      </c>
    </row>
    <row r="423" spans="1:43" x14ac:dyDescent="0.25">
      <c r="F423" s="32"/>
      <c r="G423" s="1"/>
      <c r="H423" s="15">
        <v>2026</v>
      </c>
      <c r="I423" s="15" t="s">
        <v>163</v>
      </c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  <c r="AH423" s="193"/>
      <c r="AI423" s="193"/>
      <c r="AJ423" s="193"/>
      <c r="AK423" s="193"/>
      <c r="AL423" s="193"/>
      <c r="AM423" s="193"/>
      <c r="AN423" s="192"/>
      <c r="AO423" s="17">
        <f>COUNTIF(Tabla13234446[[#This Row],[1L]:[Columna1]],"D12")</f>
        <v>0</v>
      </c>
      <c r="AP423" s="17">
        <f>COUNTIF(Tabla13234446[[#This Row],[1L]:[Columna1]],"N12")</f>
        <v>0</v>
      </c>
      <c r="AQ423" s="27">
        <f>COUNTBLANK(Tabla13234446[[#This Row],[1L]:[Columna1]])</f>
        <v>31</v>
      </c>
    </row>
    <row r="424" spans="1:43" ht="18.75" x14ac:dyDescent="0.25">
      <c r="F424" s="32"/>
      <c r="G424" s="1"/>
      <c r="H424" s="15">
        <v>2026</v>
      </c>
      <c r="I424" s="15" t="s">
        <v>163</v>
      </c>
      <c r="J424" s="150">
        <f t="shared" ref="J424:AN424" si="24">COUNTIF(J421:J423,"D12")</f>
        <v>0</v>
      </c>
      <c r="K424" s="150">
        <f t="shared" si="24"/>
        <v>0</v>
      </c>
      <c r="L424" s="150">
        <f t="shared" si="24"/>
        <v>0</v>
      </c>
      <c r="M424" s="150">
        <f t="shared" si="24"/>
        <v>0</v>
      </c>
      <c r="N424" s="150">
        <f t="shared" si="24"/>
        <v>0</v>
      </c>
      <c r="O424" s="150">
        <f t="shared" si="24"/>
        <v>0</v>
      </c>
      <c r="P424" s="150">
        <f t="shared" si="24"/>
        <v>0</v>
      </c>
      <c r="Q424" s="150">
        <f t="shared" si="24"/>
        <v>0</v>
      </c>
      <c r="R424" s="150">
        <f t="shared" si="24"/>
        <v>0</v>
      </c>
      <c r="S424" s="150">
        <f t="shared" si="24"/>
        <v>0</v>
      </c>
      <c r="T424" s="150">
        <f t="shared" si="24"/>
        <v>0</v>
      </c>
      <c r="U424" s="150">
        <f t="shared" si="24"/>
        <v>0</v>
      </c>
      <c r="V424" s="150">
        <f t="shared" si="24"/>
        <v>0</v>
      </c>
      <c r="W424" s="150">
        <f t="shared" si="24"/>
        <v>0</v>
      </c>
      <c r="X424" s="150">
        <f t="shared" si="24"/>
        <v>0</v>
      </c>
      <c r="Y424" s="150">
        <f t="shared" si="24"/>
        <v>0</v>
      </c>
      <c r="Z424" s="150">
        <f t="shared" si="24"/>
        <v>0</v>
      </c>
      <c r="AA424" s="150">
        <f t="shared" si="24"/>
        <v>0</v>
      </c>
      <c r="AB424" s="150">
        <f t="shared" si="24"/>
        <v>0</v>
      </c>
      <c r="AC424" s="150">
        <f t="shared" si="24"/>
        <v>0</v>
      </c>
      <c r="AD424" s="150">
        <f t="shared" si="24"/>
        <v>0</v>
      </c>
      <c r="AE424" s="150">
        <f t="shared" si="24"/>
        <v>0</v>
      </c>
      <c r="AF424" s="150">
        <f t="shared" si="24"/>
        <v>0</v>
      </c>
      <c r="AG424" s="150">
        <f t="shared" si="24"/>
        <v>0</v>
      </c>
      <c r="AH424" s="150">
        <f t="shared" si="24"/>
        <v>0</v>
      </c>
      <c r="AI424" s="150">
        <f t="shared" si="24"/>
        <v>0</v>
      </c>
      <c r="AJ424" s="150">
        <f t="shared" si="24"/>
        <v>0</v>
      </c>
      <c r="AK424" s="150">
        <f t="shared" si="24"/>
        <v>0</v>
      </c>
      <c r="AL424" s="150">
        <f t="shared" si="24"/>
        <v>0</v>
      </c>
      <c r="AM424" s="150">
        <f t="shared" si="24"/>
        <v>0</v>
      </c>
      <c r="AN424" s="150">
        <f t="shared" si="24"/>
        <v>0</v>
      </c>
      <c r="AO424" s="33"/>
      <c r="AP424" s="33"/>
      <c r="AQ424" s="34"/>
    </row>
    <row r="425" spans="1:43" ht="18.75" x14ac:dyDescent="0.25">
      <c r="F425" s="35"/>
      <c r="G425" s="36"/>
      <c r="H425" s="15">
        <v>2026</v>
      </c>
      <c r="I425" s="15" t="s">
        <v>163</v>
      </c>
      <c r="J425" s="151">
        <f t="shared" ref="J425:AN425" si="25">COUNTIF(J421:J423,"N12")</f>
        <v>0</v>
      </c>
      <c r="K425" s="151">
        <f t="shared" si="25"/>
        <v>0</v>
      </c>
      <c r="L425" s="151">
        <f t="shared" si="25"/>
        <v>0</v>
      </c>
      <c r="M425" s="151">
        <f t="shared" si="25"/>
        <v>0</v>
      </c>
      <c r="N425" s="151">
        <f t="shared" si="25"/>
        <v>0</v>
      </c>
      <c r="O425" s="151">
        <f t="shared" si="25"/>
        <v>0</v>
      </c>
      <c r="P425" s="151">
        <f t="shared" si="25"/>
        <v>0</v>
      </c>
      <c r="Q425" s="151">
        <f t="shared" si="25"/>
        <v>0</v>
      </c>
      <c r="R425" s="151">
        <f t="shared" si="25"/>
        <v>0</v>
      </c>
      <c r="S425" s="151">
        <f t="shared" si="25"/>
        <v>0</v>
      </c>
      <c r="T425" s="151">
        <f t="shared" si="25"/>
        <v>0</v>
      </c>
      <c r="U425" s="151">
        <f t="shared" si="25"/>
        <v>0</v>
      </c>
      <c r="V425" s="151">
        <f t="shared" si="25"/>
        <v>0</v>
      </c>
      <c r="W425" s="151">
        <f t="shared" si="25"/>
        <v>0</v>
      </c>
      <c r="X425" s="151">
        <f t="shared" si="25"/>
        <v>0</v>
      </c>
      <c r="Y425" s="151">
        <f t="shared" si="25"/>
        <v>0</v>
      </c>
      <c r="Z425" s="151">
        <f t="shared" si="25"/>
        <v>0</v>
      </c>
      <c r="AA425" s="151">
        <f t="shared" si="25"/>
        <v>0</v>
      </c>
      <c r="AB425" s="151">
        <f t="shared" si="25"/>
        <v>0</v>
      </c>
      <c r="AC425" s="151">
        <f t="shared" si="25"/>
        <v>0</v>
      </c>
      <c r="AD425" s="151">
        <f t="shared" si="25"/>
        <v>0</v>
      </c>
      <c r="AE425" s="151">
        <f t="shared" si="25"/>
        <v>0</v>
      </c>
      <c r="AF425" s="151">
        <f t="shared" si="25"/>
        <v>0</v>
      </c>
      <c r="AG425" s="151">
        <f t="shared" si="25"/>
        <v>0</v>
      </c>
      <c r="AH425" s="151">
        <f t="shared" si="25"/>
        <v>0</v>
      </c>
      <c r="AI425" s="151">
        <f t="shared" si="25"/>
        <v>0</v>
      </c>
      <c r="AJ425" s="151">
        <f t="shared" si="25"/>
        <v>0</v>
      </c>
      <c r="AK425" s="151">
        <f t="shared" si="25"/>
        <v>0</v>
      </c>
      <c r="AL425" s="151">
        <f t="shared" si="25"/>
        <v>0</v>
      </c>
      <c r="AM425" s="151">
        <f t="shared" si="25"/>
        <v>0</v>
      </c>
      <c r="AN425" s="151">
        <f t="shared" si="25"/>
        <v>0</v>
      </c>
      <c r="AO425" s="38"/>
      <c r="AP425" s="38"/>
      <c r="AQ425" s="34"/>
    </row>
    <row r="427" spans="1:43" x14ac:dyDescent="0.25">
      <c r="H427" s="301" t="s">
        <v>36</v>
      </c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3"/>
    </row>
    <row r="428" spans="1:43" x14ac:dyDescent="0.25">
      <c r="H428" s="304" t="s">
        <v>37</v>
      </c>
      <c r="I428" s="305"/>
      <c r="J428" s="305"/>
      <c r="K428" s="305"/>
      <c r="L428" s="305"/>
      <c r="M428" s="305"/>
      <c r="N428" s="305"/>
      <c r="O428" s="305"/>
      <c r="P428" s="305"/>
      <c r="Q428" s="305"/>
      <c r="R428" s="305"/>
      <c r="S428" s="305"/>
      <c r="T428" s="305"/>
      <c r="U428" s="305"/>
      <c r="V428" s="305"/>
      <c r="W428" s="305"/>
      <c r="X428" s="305"/>
      <c r="Y428" s="305"/>
      <c r="Z428" s="305"/>
      <c r="AA428" s="306"/>
    </row>
    <row r="429" spans="1:43" x14ac:dyDescent="0.25">
      <c r="H429" s="304" t="s">
        <v>38</v>
      </c>
      <c r="I429" s="305"/>
      <c r="J429" s="305"/>
      <c r="K429" s="305"/>
      <c r="L429" s="305"/>
      <c r="M429" s="305"/>
      <c r="N429" s="305"/>
      <c r="O429" s="305"/>
      <c r="P429" s="305"/>
      <c r="Q429" s="305"/>
      <c r="R429" s="305"/>
      <c r="S429" s="305"/>
      <c r="T429" s="305"/>
      <c r="U429" s="305"/>
      <c r="V429" s="305"/>
      <c r="W429" s="305"/>
      <c r="X429" s="305"/>
      <c r="Y429" s="305"/>
      <c r="Z429" s="305"/>
      <c r="AA429" s="306"/>
    </row>
    <row r="431" spans="1:43" x14ac:dyDescent="0.25">
      <c r="H431" s="55"/>
      <c r="I431" s="279" t="s">
        <v>39</v>
      </c>
      <c r="J431" s="280"/>
      <c r="K431" s="280"/>
      <c r="L431" s="281"/>
      <c r="M431" s="56"/>
      <c r="N431" s="279" t="s">
        <v>40</v>
      </c>
      <c r="O431" s="280"/>
      <c r="P431" s="280"/>
      <c r="Q431" s="280"/>
      <c r="R431" s="281"/>
    </row>
    <row r="432" spans="1:43" x14ac:dyDescent="0.25">
      <c r="H432" s="46" t="s">
        <v>32</v>
      </c>
      <c r="I432" s="279" t="s">
        <v>41</v>
      </c>
      <c r="J432" s="280"/>
      <c r="K432" s="280"/>
      <c r="L432" s="281"/>
      <c r="M432" s="47" t="s">
        <v>42</v>
      </c>
      <c r="N432" s="279" t="s">
        <v>43</v>
      </c>
      <c r="O432" s="280"/>
      <c r="P432" s="280"/>
      <c r="Q432" s="280"/>
      <c r="R432" s="281"/>
    </row>
    <row r="433" spans="6:43" x14ac:dyDescent="0.25">
      <c r="H433" s="48" t="s">
        <v>44</v>
      </c>
      <c r="I433" s="279" t="s">
        <v>45</v>
      </c>
      <c r="J433" s="280"/>
      <c r="K433" s="280"/>
      <c r="L433" s="281"/>
      <c r="M433" s="49" t="s">
        <v>46</v>
      </c>
      <c r="N433" s="279" t="s">
        <v>47</v>
      </c>
      <c r="O433" s="280"/>
      <c r="P433" s="280"/>
      <c r="Q433" s="280"/>
      <c r="R433" s="281"/>
    </row>
    <row r="434" spans="6:43" x14ac:dyDescent="0.25">
      <c r="H434" s="1" t="s">
        <v>48</v>
      </c>
      <c r="I434" s="299" t="s">
        <v>49</v>
      </c>
      <c r="J434" s="299"/>
      <c r="K434" s="299"/>
      <c r="L434" s="299"/>
      <c r="M434" s="39" t="s">
        <v>50</v>
      </c>
      <c r="N434" s="299" t="s">
        <v>51</v>
      </c>
      <c r="O434" s="299"/>
      <c r="P434" s="299"/>
      <c r="Q434" s="299"/>
      <c r="R434" s="299"/>
    </row>
    <row r="435" spans="6:43" x14ac:dyDescent="0.25">
      <c r="H435" s="1" t="s">
        <v>29</v>
      </c>
      <c r="I435" s="299" t="s">
        <v>52</v>
      </c>
      <c r="J435" s="299"/>
      <c r="K435" s="299"/>
      <c r="L435" s="299"/>
      <c r="M435" s="1" t="s">
        <v>53</v>
      </c>
      <c r="N435" s="299" t="s">
        <v>54</v>
      </c>
      <c r="O435" s="299"/>
      <c r="P435" s="299"/>
      <c r="Q435" s="299"/>
      <c r="R435" s="299"/>
    </row>
    <row r="436" spans="6:43" x14ac:dyDescent="0.25">
      <c r="H436" s="1" t="s">
        <v>28</v>
      </c>
      <c r="I436" s="299" t="s">
        <v>55</v>
      </c>
      <c r="J436" s="299"/>
      <c r="K436" s="299"/>
      <c r="L436" s="299"/>
      <c r="M436" s="1" t="s">
        <v>31</v>
      </c>
      <c r="N436" s="299" t="s">
        <v>56</v>
      </c>
      <c r="O436" s="299"/>
      <c r="P436" s="299"/>
      <c r="Q436" s="299"/>
      <c r="R436" s="299"/>
    </row>
    <row r="448" spans="6:43" x14ac:dyDescent="0.25">
      <c r="F448" s="387"/>
      <c r="G448" s="388"/>
      <c r="H448" s="309" t="s">
        <v>1</v>
      </c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  <c r="AH448" s="311"/>
      <c r="AI448" s="289" t="s">
        <v>2</v>
      </c>
      <c r="AJ448" s="289"/>
      <c r="AK448" s="289"/>
      <c r="AL448" s="289"/>
      <c r="AM448" s="289"/>
      <c r="AN448" s="289"/>
      <c r="AO448" s="3"/>
      <c r="AP448" s="3"/>
      <c r="AQ448" s="3"/>
    </row>
    <row r="449" spans="1:43" x14ac:dyDescent="0.25">
      <c r="F449" s="389"/>
      <c r="G449" s="390"/>
      <c r="H449" s="343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  <c r="AA449" s="344"/>
      <c r="AB449" s="344"/>
      <c r="AC449" s="344"/>
      <c r="AD449" s="344"/>
      <c r="AE449" s="344"/>
      <c r="AF449" s="344"/>
      <c r="AG449" s="344"/>
      <c r="AH449" s="345"/>
      <c r="AI449" s="289"/>
      <c r="AJ449" s="289"/>
      <c r="AK449" s="289"/>
      <c r="AL449" s="289"/>
      <c r="AM449" s="289"/>
      <c r="AN449" s="289"/>
      <c r="AO449" s="3"/>
      <c r="AP449" s="3"/>
      <c r="AQ449" s="3"/>
    </row>
    <row r="450" spans="1:43" x14ac:dyDescent="0.25">
      <c r="F450" s="389"/>
      <c r="G450" s="390"/>
      <c r="H450" s="307" t="s">
        <v>3</v>
      </c>
      <c r="I450" s="290"/>
      <c r="J450" s="290"/>
      <c r="K450" s="291" t="s">
        <v>4</v>
      </c>
      <c r="L450" s="291"/>
      <c r="M450" s="291"/>
      <c r="N450" s="291"/>
      <c r="O450" s="291"/>
      <c r="P450" s="291"/>
      <c r="Q450" s="291"/>
      <c r="R450" s="291"/>
      <c r="S450" s="291"/>
      <c r="T450" s="291"/>
      <c r="U450" s="291"/>
      <c r="V450" s="291"/>
      <c r="W450" s="291"/>
      <c r="X450" s="291"/>
      <c r="Y450" s="291"/>
      <c r="Z450" s="291"/>
      <c r="AA450" s="291"/>
      <c r="AB450" s="291"/>
      <c r="AC450" s="291"/>
      <c r="AD450" s="291"/>
      <c r="AE450" s="291"/>
      <c r="AF450" s="291"/>
      <c r="AG450" s="291"/>
      <c r="AH450" s="292"/>
      <c r="AI450" s="289" t="s">
        <v>5</v>
      </c>
      <c r="AJ450" s="289"/>
      <c r="AK450" s="289"/>
      <c r="AL450" s="289"/>
      <c r="AM450" s="289"/>
      <c r="AN450" s="289"/>
      <c r="AO450" s="3"/>
      <c r="AP450" s="3"/>
      <c r="AQ450" s="3"/>
    </row>
    <row r="451" spans="1:43" x14ac:dyDescent="0.25">
      <c r="F451" s="389"/>
      <c r="G451" s="390"/>
      <c r="H451" s="5" t="s">
        <v>6</v>
      </c>
      <c r="I451" s="6"/>
      <c r="J451" s="6"/>
      <c r="K451" s="291" t="s">
        <v>7</v>
      </c>
      <c r="L451" s="291"/>
      <c r="M451" s="291"/>
      <c r="N451" s="291"/>
      <c r="O451" s="291"/>
      <c r="P451" s="291"/>
      <c r="Q451" s="291"/>
      <c r="R451" s="291"/>
      <c r="S451" s="291"/>
      <c r="T451" s="291"/>
      <c r="U451" s="291"/>
      <c r="V451" s="291"/>
      <c r="W451" s="291"/>
      <c r="X451" s="291"/>
      <c r="Y451" s="291"/>
      <c r="Z451" s="291"/>
      <c r="AA451" s="291"/>
      <c r="AB451" s="291"/>
      <c r="AC451" s="291"/>
      <c r="AD451" s="291"/>
      <c r="AE451" s="291"/>
      <c r="AF451" s="291"/>
      <c r="AG451" s="291"/>
      <c r="AH451" s="292"/>
      <c r="AI451" s="289"/>
      <c r="AJ451" s="289"/>
      <c r="AK451" s="289"/>
      <c r="AL451" s="289"/>
      <c r="AM451" s="289"/>
      <c r="AN451" s="289"/>
      <c r="AO451" s="3"/>
      <c r="AP451" s="3"/>
      <c r="AQ451" s="3"/>
    </row>
    <row r="452" spans="1:43" x14ac:dyDescent="0.25">
      <c r="F452" s="389"/>
      <c r="G452" s="390"/>
      <c r="H452" s="307" t="s">
        <v>8</v>
      </c>
      <c r="I452" s="290"/>
      <c r="J452" s="290"/>
      <c r="K452" s="291" t="s">
        <v>9</v>
      </c>
      <c r="L452" s="291"/>
      <c r="M452" s="291"/>
      <c r="N452" s="291"/>
      <c r="O452" s="291"/>
      <c r="P452" s="291"/>
      <c r="Q452" s="291"/>
      <c r="R452" s="291"/>
      <c r="S452" s="291"/>
      <c r="T452" s="291"/>
      <c r="U452" s="291"/>
      <c r="V452" s="291"/>
      <c r="W452" s="291"/>
      <c r="X452" s="291"/>
      <c r="Y452" s="291"/>
      <c r="Z452" s="291"/>
      <c r="AA452" s="291"/>
      <c r="AB452" s="291"/>
      <c r="AC452" s="291"/>
      <c r="AD452" s="291"/>
      <c r="AE452" s="291"/>
      <c r="AF452" s="291"/>
      <c r="AG452" s="291"/>
      <c r="AH452" s="292"/>
      <c r="AI452" s="289" t="s">
        <v>10</v>
      </c>
      <c r="AJ452" s="289"/>
      <c r="AK452" s="289"/>
      <c r="AL452" s="289"/>
      <c r="AM452" s="289"/>
      <c r="AN452" s="289"/>
      <c r="AO452" s="3"/>
      <c r="AP452" s="3"/>
      <c r="AQ452" s="3"/>
    </row>
    <row r="453" spans="1:43" x14ac:dyDescent="0.25">
      <c r="F453" s="391"/>
      <c r="G453" s="392"/>
      <c r="H453" s="308" t="s">
        <v>11</v>
      </c>
      <c r="I453" s="293"/>
      <c r="J453" s="293"/>
      <c r="K453" s="294" t="s">
        <v>12</v>
      </c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  <c r="AC453" s="294"/>
      <c r="AD453" s="294"/>
      <c r="AE453" s="294"/>
      <c r="AF453" s="294"/>
      <c r="AG453" s="294"/>
      <c r="AH453" s="295"/>
      <c r="AI453" s="289"/>
      <c r="AJ453" s="289"/>
      <c r="AK453" s="289"/>
      <c r="AL453" s="289"/>
      <c r="AM453" s="289"/>
      <c r="AN453" s="289"/>
      <c r="AO453" s="2"/>
      <c r="AP453" s="2"/>
      <c r="AQ453" s="2"/>
    </row>
    <row r="454" spans="1:43" ht="18.75" x14ac:dyDescent="0.25">
      <c r="A454" s="7" t="s">
        <v>15</v>
      </c>
      <c r="B454" s="8" t="s">
        <v>16</v>
      </c>
      <c r="C454" s="9" t="s">
        <v>17</v>
      </c>
      <c r="D454" s="9" t="s">
        <v>18</v>
      </c>
      <c r="E454" s="9" t="s">
        <v>19</v>
      </c>
      <c r="F454" s="10" t="s">
        <v>20</v>
      </c>
      <c r="G454" s="7" t="s">
        <v>21</v>
      </c>
      <c r="H454" s="7" t="s">
        <v>22</v>
      </c>
      <c r="I454" s="7" t="s">
        <v>23</v>
      </c>
      <c r="J454" s="247" t="s">
        <v>132</v>
      </c>
      <c r="K454" s="247" t="s">
        <v>133</v>
      </c>
      <c r="L454" s="247" t="s">
        <v>134</v>
      </c>
      <c r="M454" s="247" t="s">
        <v>135</v>
      </c>
      <c r="N454" s="247" t="s">
        <v>136</v>
      </c>
      <c r="O454" s="247" t="s">
        <v>137</v>
      </c>
      <c r="P454" s="155" t="s">
        <v>138</v>
      </c>
      <c r="Q454" s="155" t="s">
        <v>139</v>
      </c>
      <c r="R454" s="247" t="s">
        <v>140</v>
      </c>
      <c r="S454" s="247" t="s">
        <v>141</v>
      </c>
      <c r="T454" s="247" t="s">
        <v>142</v>
      </c>
      <c r="U454" s="247" t="s">
        <v>143</v>
      </c>
      <c r="V454" s="247" t="s">
        <v>144</v>
      </c>
      <c r="W454" s="155" t="s">
        <v>145</v>
      </c>
      <c r="X454" s="155" t="s">
        <v>146</v>
      </c>
      <c r="Y454" s="247" t="s">
        <v>147</v>
      </c>
      <c r="Z454" s="247" t="s">
        <v>148</v>
      </c>
      <c r="AA454" s="247" t="s">
        <v>149</v>
      </c>
      <c r="AB454" s="247" t="s">
        <v>150</v>
      </c>
      <c r="AC454" s="247" t="s">
        <v>151</v>
      </c>
      <c r="AD454" s="155" t="s">
        <v>152</v>
      </c>
      <c r="AE454" s="247" t="s">
        <v>153</v>
      </c>
      <c r="AF454" s="247" t="s">
        <v>154</v>
      </c>
      <c r="AG454" s="247" t="s">
        <v>155</v>
      </c>
      <c r="AH454" s="248" t="s">
        <v>156</v>
      </c>
      <c r="AI454" s="247" t="s">
        <v>157</v>
      </c>
      <c r="AJ454" s="247" t="s">
        <v>158</v>
      </c>
      <c r="AK454" s="155" t="s">
        <v>159</v>
      </c>
      <c r="AL454" s="155" t="s">
        <v>160</v>
      </c>
      <c r="AM454" s="247" t="s">
        <v>161</v>
      </c>
      <c r="AN454" s="249" t="s">
        <v>162</v>
      </c>
      <c r="AO454" s="11" t="s">
        <v>24</v>
      </c>
      <c r="AP454" s="11" t="s">
        <v>25</v>
      </c>
      <c r="AQ454" s="11" t="s">
        <v>26</v>
      </c>
    </row>
    <row r="455" spans="1:43" x14ac:dyDescent="0.25">
      <c r="F455" s="32"/>
      <c r="G455" s="1"/>
      <c r="H455" s="15">
        <v>2026</v>
      </c>
      <c r="I455" s="15" t="s">
        <v>163</v>
      </c>
      <c r="J455" s="95" t="s">
        <v>127</v>
      </c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196"/>
      <c r="AO455" s="16">
        <f>COUNTIF(Tabla13234449[[#This Row],[1L]:[Columna1]],"D12")</f>
        <v>0</v>
      </c>
      <c r="AP455" s="17">
        <f>COUNTIF(Tabla13234449[[#This Row],[1L]:[Columna1]],"N12")</f>
        <v>0</v>
      </c>
      <c r="AQ455" s="18">
        <f>COUNTBLANK(Tabla13234449[[#This Row],[1L]:[Columna1]])</f>
        <v>30</v>
      </c>
    </row>
    <row r="456" spans="1:43" x14ac:dyDescent="0.25">
      <c r="F456" s="32"/>
      <c r="G456" s="1"/>
      <c r="H456" s="15">
        <v>2026</v>
      </c>
      <c r="I456" s="15" t="s">
        <v>163</v>
      </c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196"/>
      <c r="AO456" s="17">
        <f>COUNTIF(Tabla13234449[[#This Row],[1L]:[Columna1]],"D12")</f>
        <v>0</v>
      </c>
      <c r="AP456" s="17">
        <f>COUNTIF(Tabla13234449[[#This Row],[1L]:[Columna1]],"N12")</f>
        <v>0</v>
      </c>
      <c r="AQ456" s="18">
        <f>COUNTBLANK(Tabla13234449[[#This Row],[1L]:[Columna1]])</f>
        <v>31</v>
      </c>
    </row>
    <row r="457" spans="1:43" x14ac:dyDescent="0.25">
      <c r="F457" s="32"/>
      <c r="G457" s="1"/>
      <c r="H457" s="15">
        <v>2026</v>
      </c>
      <c r="I457" s="15" t="s">
        <v>163</v>
      </c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196"/>
      <c r="AO457" s="17">
        <f>COUNTIF(Tabla13234449[[#This Row],[1L]:[Columna1]],"D12")</f>
        <v>0</v>
      </c>
      <c r="AP457" s="17">
        <f>COUNTIF(Tabla13234449[[#This Row],[1L]:[Columna1]],"N12")</f>
        <v>0</v>
      </c>
      <c r="AQ457" s="27">
        <f>COUNTBLANK(Tabla13234449[[#This Row],[1L]:[Columna1]])</f>
        <v>31</v>
      </c>
    </row>
    <row r="458" spans="1:43" ht="18.75" x14ac:dyDescent="0.25">
      <c r="F458" s="32"/>
      <c r="G458" s="1"/>
      <c r="H458" s="15">
        <v>2026</v>
      </c>
      <c r="I458" s="15" t="s">
        <v>163</v>
      </c>
      <c r="J458" s="150">
        <f t="shared" ref="J458:AN458" si="26">COUNTIF(J455:J457,"D12")</f>
        <v>0</v>
      </c>
      <c r="K458" s="150">
        <f t="shared" si="26"/>
        <v>0</v>
      </c>
      <c r="L458" s="150">
        <f t="shared" si="26"/>
        <v>0</v>
      </c>
      <c r="M458" s="150">
        <f t="shared" si="26"/>
        <v>0</v>
      </c>
      <c r="N458" s="150">
        <f t="shared" si="26"/>
        <v>0</v>
      </c>
      <c r="O458" s="150">
        <f t="shared" si="26"/>
        <v>0</v>
      </c>
      <c r="P458" s="150">
        <f t="shared" si="26"/>
        <v>0</v>
      </c>
      <c r="Q458" s="150">
        <f t="shared" si="26"/>
        <v>0</v>
      </c>
      <c r="R458" s="150">
        <f t="shared" si="26"/>
        <v>0</v>
      </c>
      <c r="S458" s="150">
        <f t="shared" si="26"/>
        <v>0</v>
      </c>
      <c r="T458" s="150">
        <f t="shared" si="26"/>
        <v>0</v>
      </c>
      <c r="U458" s="150">
        <f t="shared" si="26"/>
        <v>0</v>
      </c>
      <c r="V458" s="150">
        <f t="shared" si="26"/>
        <v>0</v>
      </c>
      <c r="W458" s="150">
        <f t="shared" si="26"/>
        <v>0</v>
      </c>
      <c r="X458" s="150">
        <f t="shared" si="26"/>
        <v>0</v>
      </c>
      <c r="Y458" s="150">
        <f t="shared" si="26"/>
        <v>0</v>
      </c>
      <c r="Z458" s="150">
        <f t="shared" si="26"/>
        <v>0</v>
      </c>
      <c r="AA458" s="150">
        <f t="shared" si="26"/>
        <v>0</v>
      </c>
      <c r="AB458" s="150">
        <f t="shared" si="26"/>
        <v>0</v>
      </c>
      <c r="AC458" s="150">
        <f t="shared" si="26"/>
        <v>0</v>
      </c>
      <c r="AD458" s="150">
        <f t="shared" si="26"/>
        <v>0</v>
      </c>
      <c r="AE458" s="150">
        <f t="shared" si="26"/>
        <v>0</v>
      </c>
      <c r="AF458" s="150">
        <f t="shared" si="26"/>
        <v>0</v>
      </c>
      <c r="AG458" s="150">
        <f t="shared" si="26"/>
        <v>0</v>
      </c>
      <c r="AH458" s="150">
        <f t="shared" si="26"/>
        <v>0</v>
      </c>
      <c r="AI458" s="150">
        <f t="shared" si="26"/>
        <v>0</v>
      </c>
      <c r="AJ458" s="150">
        <f t="shared" si="26"/>
        <v>0</v>
      </c>
      <c r="AK458" s="150">
        <f t="shared" si="26"/>
        <v>0</v>
      </c>
      <c r="AL458" s="150">
        <f t="shared" si="26"/>
        <v>0</v>
      </c>
      <c r="AM458" s="150">
        <f t="shared" si="26"/>
        <v>0</v>
      </c>
      <c r="AN458" s="150">
        <f t="shared" si="26"/>
        <v>0</v>
      </c>
      <c r="AO458" s="33"/>
      <c r="AP458" s="33"/>
      <c r="AQ458" s="34"/>
    </row>
    <row r="459" spans="1:43" ht="18.75" x14ac:dyDescent="0.25">
      <c r="F459" s="35"/>
      <c r="G459" s="36"/>
      <c r="H459" s="15">
        <v>2026</v>
      </c>
      <c r="I459" s="15" t="s">
        <v>163</v>
      </c>
      <c r="J459" s="151">
        <f t="shared" ref="J459:AN459" si="27">COUNTIF(J455:J457,"N12")</f>
        <v>0</v>
      </c>
      <c r="K459" s="151">
        <f t="shared" si="27"/>
        <v>0</v>
      </c>
      <c r="L459" s="151">
        <f t="shared" si="27"/>
        <v>0</v>
      </c>
      <c r="M459" s="151">
        <f t="shared" si="27"/>
        <v>0</v>
      </c>
      <c r="N459" s="151">
        <f t="shared" si="27"/>
        <v>0</v>
      </c>
      <c r="O459" s="151">
        <f t="shared" si="27"/>
        <v>0</v>
      </c>
      <c r="P459" s="151">
        <f t="shared" si="27"/>
        <v>0</v>
      </c>
      <c r="Q459" s="151">
        <f t="shared" si="27"/>
        <v>0</v>
      </c>
      <c r="R459" s="151">
        <f t="shared" si="27"/>
        <v>0</v>
      </c>
      <c r="S459" s="151">
        <f t="shared" si="27"/>
        <v>0</v>
      </c>
      <c r="T459" s="151">
        <f t="shared" si="27"/>
        <v>0</v>
      </c>
      <c r="U459" s="151">
        <f t="shared" si="27"/>
        <v>0</v>
      </c>
      <c r="V459" s="151">
        <f t="shared" si="27"/>
        <v>0</v>
      </c>
      <c r="W459" s="151">
        <f t="shared" si="27"/>
        <v>0</v>
      </c>
      <c r="X459" s="151">
        <f t="shared" si="27"/>
        <v>0</v>
      </c>
      <c r="Y459" s="151">
        <f t="shared" si="27"/>
        <v>0</v>
      </c>
      <c r="Z459" s="151">
        <f t="shared" si="27"/>
        <v>0</v>
      </c>
      <c r="AA459" s="151">
        <f t="shared" si="27"/>
        <v>0</v>
      </c>
      <c r="AB459" s="151">
        <f t="shared" si="27"/>
        <v>0</v>
      </c>
      <c r="AC459" s="151">
        <f t="shared" si="27"/>
        <v>0</v>
      </c>
      <c r="AD459" s="151">
        <f t="shared" si="27"/>
        <v>0</v>
      </c>
      <c r="AE459" s="151">
        <f t="shared" si="27"/>
        <v>0</v>
      </c>
      <c r="AF459" s="151">
        <f t="shared" si="27"/>
        <v>0</v>
      </c>
      <c r="AG459" s="151">
        <f t="shared" si="27"/>
        <v>0</v>
      </c>
      <c r="AH459" s="151">
        <f t="shared" si="27"/>
        <v>0</v>
      </c>
      <c r="AI459" s="151">
        <f t="shared" si="27"/>
        <v>0</v>
      </c>
      <c r="AJ459" s="151">
        <f t="shared" si="27"/>
        <v>0</v>
      </c>
      <c r="AK459" s="151">
        <f t="shared" si="27"/>
        <v>0</v>
      </c>
      <c r="AL459" s="151">
        <f t="shared" si="27"/>
        <v>0</v>
      </c>
      <c r="AM459" s="151">
        <f t="shared" si="27"/>
        <v>0</v>
      </c>
      <c r="AN459" s="151">
        <f t="shared" si="27"/>
        <v>0</v>
      </c>
      <c r="AO459" s="38"/>
      <c r="AP459" s="38"/>
      <c r="AQ459" s="34"/>
    </row>
    <row r="461" spans="1:43" x14ac:dyDescent="0.25">
      <c r="H461" s="301" t="s">
        <v>36</v>
      </c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3"/>
    </row>
    <row r="462" spans="1:43" x14ac:dyDescent="0.25">
      <c r="H462" s="304" t="s">
        <v>37</v>
      </c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  <c r="AA462" s="306"/>
    </row>
    <row r="463" spans="1:43" x14ac:dyDescent="0.25">
      <c r="H463" s="304" t="s">
        <v>38</v>
      </c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305"/>
      <c r="V463" s="305"/>
      <c r="W463" s="305"/>
      <c r="X463" s="305"/>
      <c r="Y463" s="305"/>
      <c r="Z463" s="305"/>
      <c r="AA463" s="306"/>
    </row>
    <row r="465" spans="8:18" x14ac:dyDescent="0.25">
      <c r="H465" s="55"/>
      <c r="I465" s="279" t="s">
        <v>39</v>
      </c>
      <c r="J465" s="280"/>
      <c r="K465" s="280"/>
      <c r="L465" s="281"/>
      <c r="M465" s="56"/>
      <c r="N465" s="279" t="s">
        <v>40</v>
      </c>
      <c r="O465" s="280"/>
      <c r="P465" s="280"/>
      <c r="Q465" s="280"/>
      <c r="R465" s="281"/>
    </row>
    <row r="466" spans="8:18" x14ac:dyDescent="0.25">
      <c r="H466" s="46" t="s">
        <v>32</v>
      </c>
      <c r="I466" s="279" t="s">
        <v>41</v>
      </c>
      <c r="J466" s="280"/>
      <c r="K466" s="280"/>
      <c r="L466" s="281"/>
      <c r="M466" s="47" t="s">
        <v>42</v>
      </c>
      <c r="N466" s="279" t="s">
        <v>43</v>
      </c>
      <c r="O466" s="280"/>
      <c r="P466" s="280"/>
      <c r="Q466" s="280"/>
      <c r="R466" s="281"/>
    </row>
    <row r="467" spans="8:18" x14ac:dyDescent="0.25">
      <c r="H467" s="48" t="s">
        <v>44</v>
      </c>
      <c r="I467" s="279" t="s">
        <v>45</v>
      </c>
      <c r="J467" s="280"/>
      <c r="K467" s="280"/>
      <c r="L467" s="281"/>
      <c r="M467" s="49" t="s">
        <v>46</v>
      </c>
      <c r="N467" s="279" t="s">
        <v>47</v>
      </c>
      <c r="O467" s="280"/>
      <c r="P467" s="280"/>
      <c r="Q467" s="280"/>
      <c r="R467" s="281"/>
    </row>
    <row r="468" spans="8:18" x14ac:dyDescent="0.25">
      <c r="H468" s="1" t="s">
        <v>48</v>
      </c>
      <c r="I468" s="279" t="s">
        <v>49</v>
      </c>
      <c r="J468" s="280"/>
      <c r="K468" s="280"/>
      <c r="L468" s="281"/>
      <c r="M468" s="39" t="s">
        <v>50</v>
      </c>
      <c r="N468" s="279" t="s">
        <v>51</v>
      </c>
      <c r="O468" s="280"/>
      <c r="P468" s="280"/>
      <c r="Q468" s="280"/>
      <c r="R468" s="281"/>
    </row>
    <row r="469" spans="8:18" x14ac:dyDescent="0.25">
      <c r="H469" s="1" t="s">
        <v>29</v>
      </c>
      <c r="I469" s="299" t="s">
        <v>52</v>
      </c>
      <c r="J469" s="299"/>
      <c r="K469" s="299"/>
      <c r="L469" s="299"/>
      <c r="M469" s="1" t="s">
        <v>53</v>
      </c>
      <c r="N469" s="299" t="s">
        <v>54</v>
      </c>
      <c r="O469" s="299"/>
      <c r="P469" s="299"/>
      <c r="Q469" s="299"/>
      <c r="R469" s="299"/>
    </row>
    <row r="470" spans="8:18" x14ac:dyDescent="0.25">
      <c r="H470" s="1" t="s">
        <v>28</v>
      </c>
      <c r="I470" s="299" t="s">
        <v>55</v>
      </c>
      <c r="J470" s="299"/>
      <c r="K470" s="299"/>
      <c r="L470" s="299"/>
      <c r="M470" s="1" t="s">
        <v>31</v>
      </c>
      <c r="N470" s="299" t="s">
        <v>56</v>
      </c>
      <c r="O470" s="299"/>
      <c r="P470" s="299"/>
      <c r="Q470" s="299"/>
      <c r="R470" s="299"/>
    </row>
    <row r="485" spans="1:43" x14ac:dyDescent="0.25">
      <c r="F485" s="387"/>
      <c r="G485" s="388"/>
      <c r="H485" s="309" t="s">
        <v>1</v>
      </c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  <c r="AH485" s="311"/>
      <c r="AI485" s="289" t="s">
        <v>2</v>
      </c>
      <c r="AJ485" s="289"/>
      <c r="AK485" s="289"/>
      <c r="AL485" s="289"/>
      <c r="AM485" s="289"/>
      <c r="AN485" s="289"/>
      <c r="AO485" s="3"/>
      <c r="AP485" s="3"/>
      <c r="AQ485" s="3"/>
    </row>
    <row r="486" spans="1:43" x14ac:dyDescent="0.25">
      <c r="F486" s="389"/>
      <c r="G486" s="390"/>
      <c r="H486" s="343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  <c r="AA486" s="344"/>
      <c r="AB486" s="344"/>
      <c r="AC486" s="344"/>
      <c r="AD486" s="344"/>
      <c r="AE486" s="344"/>
      <c r="AF486" s="344"/>
      <c r="AG486" s="344"/>
      <c r="AH486" s="345"/>
      <c r="AI486" s="289"/>
      <c r="AJ486" s="289"/>
      <c r="AK486" s="289"/>
      <c r="AL486" s="289"/>
      <c r="AM486" s="289"/>
      <c r="AN486" s="289"/>
      <c r="AO486" s="3"/>
      <c r="AP486" s="3"/>
      <c r="AQ486" s="3"/>
    </row>
    <row r="487" spans="1:43" x14ac:dyDescent="0.25">
      <c r="F487" s="389"/>
      <c r="G487" s="390"/>
      <c r="H487" s="307" t="s">
        <v>3</v>
      </c>
      <c r="I487" s="290"/>
      <c r="J487" s="290"/>
      <c r="K487" s="291" t="s">
        <v>4</v>
      </c>
      <c r="L487" s="291"/>
      <c r="M487" s="291"/>
      <c r="N487" s="291"/>
      <c r="O487" s="291"/>
      <c r="P487" s="291"/>
      <c r="Q487" s="291"/>
      <c r="R487" s="291"/>
      <c r="S487" s="291"/>
      <c r="T487" s="291"/>
      <c r="U487" s="291"/>
      <c r="V487" s="291"/>
      <c r="W487" s="291"/>
      <c r="X487" s="291"/>
      <c r="Y487" s="291"/>
      <c r="Z487" s="291"/>
      <c r="AA487" s="291"/>
      <c r="AB487" s="291"/>
      <c r="AC487" s="291"/>
      <c r="AD487" s="291"/>
      <c r="AE487" s="291"/>
      <c r="AF487" s="291"/>
      <c r="AG487" s="291"/>
      <c r="AH487" s="292"/>
      <c r="AI487" s="289" t="s">
        <v>5</v>
      </c>
      <c r="AJ487" s="289"/>
      <c r="AK487" s="289"/>
      <c r="AL487" s="289"/>
      <c r="AM487" s="289"/>
      <c r="AN487" s="289"/>
      <c r="AO487" s="3"/>
      <c r="AP487" s="3"/>
      <c r="AQ487" s="3"/>
    </row>
    <row r="488" spans="1:43" x14ac:dyDescent="0.25">
      <c r="F488" s="389"/>
      <c r="G488" s="390"/>
      <c r="H488" s="5" t="s">
        <v>6</v>
      </c>
      <c r="I488" s="6"/>
      <c r="J488" s="6"/>
      <c r="K488" s="291" t="s">
        <v>7</v>
      </c>
      <c r="L488" s="291"/>
      <c r="M488" s="291"/>
      <c r="N488" s="291"/>
      <c r="O488" s="291"/>
      <c r="P488" s="291"/>
      <c r="Q488" s="291"/>
      <c r="R488" s="291"/>
      <c r="S488" s="291"/>
      <c r="T488" s="291"/>
      <c r="U488" s="291"/>
      <c r="V488" s="291"/>
      <c r="W488" s="291"/>
      <c r="X488" s="291"/>
      <c r="Y488" s="291"/>
      <c r="Z488" s="291"/>
      <c r="AA488" s="291"/>
      <c r="AB488" s="291"/>
      <c r="AC488" s="291"/>
      <c r="AD488" s="291"/>
      <c r="AE488" s="291"/>
      <c r="AF488" s="291"/>
      <c r="AG488" s="291"/>
      <c r="AH488" s="292"/>
      <c r="AI488" s="289"/>
      <c r="AJ488" s="289"/>
      <c r="AK488" s="289"/>
      <c r="AL488" s="289"/>
      <c r="AM488" s="289"/>
      <c r="AN488" s="289"/>
      <c r="AO488" s="3"/>
      <c r="AP488" s="3"/>
      <c r="AQ488" s="3"/>
    </row>
    <row r="489" spans="1:43" x14ac:dyDescent="0.25">
      <c r="F489" s="389"/>
      <c r="G489" s="390"/>
      <c r="H489" s="307" t="s">
        <v>8</v>
      </c>
      <c r="I489" s="290"/>
      <c r="J489" s="290"/>
      <c r="K489" s="291" t="s">
        <v>9</v>
      </c>
      <c r="L489" s="291"/>
      <c r="M489" s="291"/>
      <c r="N489" s="291"/>
      <c r="O489" s="291"/>
      <c r="P489" s="291"/>
      <c r="Q489" s="291"/>
      <c r="R489" s="291"/>
      <c r="S489" s="291"/>
      <c r="T489" s="291"/>
      <c r="U489" s="291"/>
      <c r="V489" s="291"/>
      <c r="W489" s="291"/>
      <c r="X489" s="291"/>
      <c r="Y489" s="291"/>
      <c r="Z489" s="291"/>
      <c r="AA489" s="291"/>
      <c r="AB489" s="291"/>
      <c r="AC489" s="291"/>
      <c r="AD489" s="291"/>
      <c r="AE489" s="291"/>
      <c r="AF489" s="291"/>
      <c r="AG489" s="291"/>
      <c r="AH489" s="292"/>
      <c r="AI489" s="289" t="s">
        <v>10</v>
      </c>
      <c r="AJ489" s="289"/>
      <c r="AK489" s="289"/>
      <c r="AL489" s="289"/>
      <c r="AM489" s="289"/>
      <c r="AN489" s="289"/>
      <c r="AO489" s="3"/>
      <c r="AP489" s="3"/>
      <c r="AQ489" s="3"/>
    </row>
    <row r="490" spans="1:43" x14ac:dyDescent="0.25">
      <c r="F490" s="391"/>
      <c r="G490" s="392"/>
      <c r="H490" s="308" t="s">
        <v>11</v>
      </c>
      <c r="I490" s="293"/>
      <c r="J490" s="293"/>
      <c r="K490" s="294" t="s">
        <v>12</v>
      </c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  <c r="AC490" s="294"/>
      <c r="AD490" s="294"/>
      <c r="AE490" s="294"/>
      <c r="AF490" s="294"/>
      <c r="AG490" s="294"/>
      <c r="AH490" s="295"/>
      <c r="AI490" s="289"/>
      <c r="AJ490" s="289"/>
      <c r="AK490" s="289"/>
      <c r="AL490" s="289"/>
      <c r="AM490" s="289"/>
      <c r="AN490" s="289"/>
      <c r="AO490" s="2"/>
      <c r="AP490" s="2"/>
      <c r="AQ490" s="2"/>
    </row>
    <row r="491" spans="1:43" ht="18.75" x14ac:dyDescent="0.25">
      <c r="A491" s="7" t="s">
        <v>15</v>
      </c>
      <c r="B491" s="8" t="s">
        <v>16</v>
      </c>
      <c r="C491" s="9" t="s">
        <v>17</v>
      </c>
      <c r="D491" s="9" t="s">
        <v>18</v>
      </c>
      <c r="E491" s="9" t="s">
        <v>19</v>
      </c>
      <c r="F491" s="10" t="s">
        <v>20</v>
      </c>
      <c r="G491" s="7" t="s">
        <v>21</v>
      </c>
      <c r="H491" s="7" t="s">
        <v>22</v>
      </c>
      <c r="I491" s="7" t="s">
        <v>23</v>
      </c>
      <c r="J491" s="247" t="s">
        <v>132</v>
      </c>
      <c r="K491" s="247" t="s">
        <v>133</v>
      </c>
      <c r="L491" s="247" t="s">
        <v>134</v>
      </c>
      <c r="M491" s="247" t="s">
        <v>135</v>
      </c>
      <c r="N491" s="247" t="s">
        <v>136</v>
      </c>
      <c r="O491" s="247" t="s">
        <v>137</v>
      </c>
      <c r="P491" s="155" t="s">
        <v>138</v>
      </c>
      <c r="Q491" s="155" t="s">
        <v>139</v>
      </c>
      <c r="R491" s="247" t="s">
        <v>140</v>
      </c>
      <c r="S491" s="247" t="s">
        <v>141</v>
      </c>
      <c r="T491" s="247" t="s">
        <v>142</v>
      </c>
      <c r="U491" s="247" t="s">
        <v>143</v>
      </c>
      <c r="V491" s="247" t="s">
        <v>144</v>
      </c>
      <c r="W491" s="155" t="s">
        <v>145</v>
      </c>
      <c r="X491" s="155" t="s">
        <v>146</v>
      </c>
      <c r="Y491" s="247" t="s">
        <v>147</v>
      </c>
      <c r="Z491" s="247" t="s">
        <v>148</v>
      </c>
      <c r="AA491" s="247" t="s">
        <v>149</v>
      </c>
      <c r="AB491" s="247" t="s">
        <v>150</v>
      </c>
      <c r="AC491" s="247" t="s">
        <v>151</v>
      </c>
      <c r="AD491" s="155" t="s">
        <v>152</v>
      </c>
      <c r="AE491" s="247" t="s">
        <v>153</v>
      </c>
      <c r="AF491" s="247" t="s">
        <v>154</v>
      </c>
      <c r="AG491" s="247" t="s">
        <v>155</v>
      </c>
      <c r="AH491" s="248" t="s">
        <v>156</v>
      </c>
      <c r="AI491" s="247" t="s">
        <v>157</v>
      </c>
      <c r="AJ491" s="247" t="s">
        <v>158</v>
      </c>
      <c r="AK491" s="155" t="s">
        <v>159</v>
      </c>
      <c r="AL491" s="155" t="s">
        <v>160</v>
      </c>
      <c r="AM491" s="247" t="s">
        <v>161</v>
      </c>
      <c r="AN491" s="249" t="s">
        <v>162</v>
      </c>
      <c r="AO491" s="11" t="s">
        <v>24</v>
      </c>
      <c r="AP491" s="11" t="s">
        <v>25</v>
      </c>
      <c r="AQ491" s="11" t="s">
        <v>26</v>
      </c>
    </row>
    <row r="492" spans="1:43" x14ac:dyDescent="0.25">
      <c r="F492" s="32"/>
      <c r="G492" s="1"/>
      <c r="H492" s="15">
        <v>2026</v>
      </c>
      <c r="I492" s="15" t="s">
        <v>163</v>
      </c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  <c r="AH492" s="193"/>
      <c r="AI492" s="193"/>
      <c r="AJ492" s="193"/>
      <c r="AK492" s="193"/>
      <c r="AL492" s="193"/>
      <c r="AM492" s="193"/>
      <c r="AN492" s="192"/>
      <c r="AO492" s="16">
        <f>COUNTIF(Tabla132344497[[#This Row],[1L]:[Columna1]],"D12")</f>
        <v>0</v>
      </c>
      <c r="AP492" s="17">
        <f>COUNTIF(Tabla132344497[[#This Row],[1L]:[Columna1]],"N12")</f>
        <v>0</v>
      </c>
      <c r="AQ492" s="18">
        <f>COUNTBLANK(Tabla132344497[[#This Row],[1L]:[Columna1]])</f>
        <v>31</v>
      </c>
    </row>
    <row r="493" spans="1:43" x14ac:dyDescent="0.25">
      <c r="F493" s="32"/>
      <c r="G493" s="1"/>
      <c r="H493" s="15">
        <v>2026</v>
      </c>
      <c r="I493" s="15" t="s">
        <v>163</v>
      </c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  <c r="AL493" s="193"/>
      <c r="AM493" s="193"/>
      <c r="AN493" s="192"/>
      <c r="AO493" s="17">
        <f>COUNTIF(Tabla132344497[[#This Row],[1L]:[Columna1]],"D12")</f>
        <v>0</v>
      </c>
      <c r="AP493" s="17">
        <f>COUNTIF(Tabla132344497[[#This Row],[1L]:[Columna1]],"N12")</f>
        <v>0</v>
      </c>
      <c r="AQ493" s="18">
        <f>COUNTBLANK(Tabla132344497[[#This Row],[1L]:[Columna1]])</f>
        <v>31</v>
      </c>
    </row>
    <row r="494" spans="1:43" x14ac:dyDescent="0.25">
      <c r="F494" s="32"/>
      <c r="G494" s="1"/>
      <c r="H494" s="15">
        <v>2026</v>
      </c>
      <c r="I494" s="15" t="s">
        <v>163</v>
      </c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  <c r="AL494" s="193"/>
      <c r="AM494" s="193"/>
      <c r="AN494" s="192"/>
      <c r="AO494" s="17">
        <f>COUNTIF(Tabla132344497[[#This Row],[1L]:[Columna1]],"D12")</f>
        <v>0</v>
      </c>
      <c r="AP494" s="17">
        <f>COUNTIF(Tabla132344497[[#This Row],[1L]:[Columna1]],"N12")</f>
        <v>0</v>
      </c>
      <c r="AQ494" s="27">
        <f>COUNTBLANK(Tabla132344497[[#This Row],[1L]:[Columna1]])</f>
        <v>31</v>
      </c>
    </row>
    <row r="495" spans="1:43" ht="18.75" x14ac:dyDescent="0.25">
      <c r="F495" s="32"/>
      <c r="G495" s="1"/>
      <c r="H495" s="15">
        <v>2026</v>
      </c>
      <c r="I495" s="15" t="s">
        <v>163</v>
      </c>
      <c r="J495" s="150">
        <f t="shared" ref="J495:AN495" si="28">COUNTIF(J492:J494,"D12")</f>
        <v>0</v>
      </c>
      <c r="K495" s="150">
        <f t="shared" si="28"/>
        <v>0</v>
      </c>
      <c r="L495" s="150">
        <f t="shared" si="28"/>
        <v>0</v>
      </c>
      <c r="M495" s="150">
        <f t="shared" si="28"/>
        <v>0</v>
      </c>
      <c r="N495" s="150">
        <f t="shared" si="28"/>
        <v>0</v>
      </c>
      <c r="O495" s="150">
        <f t="shared" si="28"/>
        <v>0</v>
      </c>
      <c r="P495" s="150">
        <f t="shared" si="28"/>
        <v>0</v>
      </c>
      <c r="Q495" s="150">
        <f t="shared" si="28"/>
        <v>0</v>
      </c>
      <c r="R495" s="150">
        <f t="shared" si="28"/>
        <v>0</v>
      </c>
      <c r="S495" s="150">
        <f t="shared" si="28"/>
        <v>0</v>
      </c>
      <c r="T495" s="150">
        <f t="shared" si="28"/>
        <v>0</v>
      </c>
      <c r="U495" s="150">
        <f t="shared" si="28"/>
        <v>0</v>
      </c>
      <c r="V495" s="150">
        <f t="shared" si="28"/>
        <v>0</v>
      </c>
      <c r="W495" s="150">
        <f t="shared" si="28"/>
        <v>0</v>
      </c>
      <c r="X495" s="150">
        <f t="shared" si="28"/>
        <v>0</v>
      </c>
      <c r="Y495" s="150">
        <f t="shared" si="28"/>
        <v>0</v>
      </c>
      <c r="Z495" s="150">
        <f t="shared" si="28"/>
        <v>0</v>
      </c>
      <c r="AA495" s="150">
        <f t="shared" si="28"/>
        <v>0</v>
      </c>
      <c r="AB495" s="150">
        <f t="shared" si="28"/>
        <v>0</v>
      </c>
      <c r="AC495" s="150">
        <f t="shared" si="28"/>
        <v>0</v>
      </c>
      <c r="AD495" s="150">
        <f t="shared" si="28"/>
        <v>0</v>
      </c>
      <c r="AE495" s="150">
        <f t="shared" si="28"/>
        <v>0</v>
      </c>
      <c r="AF495" s="150">
        <f t="shared" si="28"/>
        <v>0</v>
      </c>
      <c r="AG495" s="150">
        <f t="shared" si="28"/>
        <v>0</v>
      </c>
      <c r="AH495" s="150">
        <f t="shared" si="28"/>
        <v>0</v>
      </c>
      <c r="AI495" s="150">
        <f t="shared" si="28"/>
        <v>0</v>
      </c>
      <c r="AJ495" s="150">
        <f t="shared" si="28"/>
        <v>0</v>
      </c>
      <c r="AK495" s="150">
        <f t="shared" si="28"/>
        <v>0</v>
      </c>
      <c r="AL495" s="150">
        <f t="shared" si="28"/>
        <v>0</v>
      </c>
      <c r="AM495" s="150">
        <f t="shared" si="28"/>
        <v>0</v>
      </c>
      <c r="AN495" s="150">
        <f t="shared" si="28"/>
        <v>0</v>
      </c>
      <c r="AO495" s="33"/>
      <c r="AP495" s="33"/>
      <c r="AQ495" s="34"/>
    </row>
    <row r="496" spans="1:43" ht="18.75" x14ac:dyDescent="0.25">
      <c r="F496" s="35"/>
      <c r="G496" s="36"/>
      <c r="H496" s="15">
        <v>2026</v>
      </c>
      <c r="I496" s="15" t="s">
        <v>163</v>
      </c>
      <c r="J496" s="151">
        <f t="shared" ref="J496:AN496" si="29">COUNTIF(J492:J494,"N12")</f>
        <v>0</v>
      </c>
      <c r="K496" s="151">
        <f t="shared" si="29"/>
        <v>0</v>
      </c>
      <c r="L496" s="151">
        <f t="shared" si="29"/>
        <v>0</v>
      </c>
      <c r="M496" s="151">
        <f t="shared" si="29"/>
        <v>0</v>
      </c>
      <c r="N496" s="151">
        <f t="shared" si="29"/>
        <v>0</v>
      </c>
      <c r="O496" s="151">
        <f t="shared" si="29"/>
        <v>0</v>
      </c>
      <c r="P496" s="151">
        <f t="shared" si="29"/>
        <v>0</v>
      </c>
      <c r="Q496" s="151">
        <f t="shared" si="29"/>
        <v>0</v>
      </c>
      <c r="R496" s="151">
        <f t="shared" si="29"/>
        <v>0</v>
      </c>
      <c r="S496" s="151">
        <f t="shared" si="29"/>
        <v>0</v>
      </c>
      <c r="T496" s="151">
        <f t="shared" si="29"/>
        <v>0</v>
      </c>
      <c r="U496" s="151">
        <f t="shared" si="29"/>
        <v>0</v>
      </c>
      <c r="V496" s="151">
        <f t="shared" si="29"/>
        <v>0</v>
      </c>
      <c r="W496" s="151">
        <f t="shared" si="29"/>
        <v>0</v>
      </c>
      <c r="X496" s="151">
        <f t="shared" si="29"/>
        <v>0</v>
      </c>
      <c r="Y496" s="151">
        <f t="shared" si="29"/>
        <v>0</v>
      </c>
      <c r="Z496" s="151">
        <f t="shared" si="29"/>
        <v>0</v>
      </c>
      <c r="AA496" s="151">
        <f t="shared" si="29"/>
        <v>0</v>
      </c>
      <c r="AB496" s="151">
        <f t="shared" si="29"/>
        <v>0</v>
      </c>
      <c r="AC496" s="151">
        <f t="shared" si="29"/>
        <v>0</v>
      </c>
      <c r="AD496" s="151">
        <f t="shared" si="29"/>
        <v>0</v>
      </c>
      <c r="AE496" s="151">
        <f t="shared" si="29"/>
        <v>0</v>
      </c>
      <c r="AF496" s="151">
        <f t="shared" si="29"/>
        <v>0</v>
      </c>
      <c r="AG496" s="151">
        <f t="shared" si="29"/>
        <v>0</v>
      </c>
      <c r="AH496" s="151">
        <f t="shared" si="29"/>
        <v>0</v>
      </c>
      <c r="AI496" s="151">
        <f t="shared" si="29"/>
        <v>0</v>
      </c>
      <c r="AJ496" s="151">
        <f t="shared" si="29"/>
        <v>0</v>
      </c>
      <c r="AK496" s="151">
        <f t="shared" si="29"/>
        <v>0</v>
      </c>
      <c r="AL496" s="151">
        <f t="shared" si="29"/>
        <v>0</v>
      </c>
      <c r="AM496" s="151">
        <f t="shared" si="29"/>
        <v>0</v>
      </c>
      <c r="AN496" s="151">
        <f t="shared" si="29"/>
        <v>0</v>
      </c>
      <c r="AO496" s="38"/>
      <c r="AP496" s="38"/>
      <c r="AQ496" s="34"/>
    </row>
    <row r="498" spans="8:27" x14ac:dyDescent="0.25">
      <c r="H498" s="301" t="s">
        <v>36</v>
      </c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3"/>
    </row>
    <row r="499" spans="8:27" x14ac:dyDescent="0.25">
      <c r="H499" s="304" t="s">
        <v>37</v>
      </c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6"/>
    </row>
    <row r="500" spans="8:27" x14ac:dyDescent="0.25">
      <c r="H500" s="304" t="s">
        <v>38</v>
      </c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6"/>
    </row>
    <row r="502" spans="8:27" x14ac:dyDescent="0.25">
      <c r="H502" s="55"/>
      <c r="I502" s="279" t="s">
        <v>39</v>
      </c>
      <c r="J502" s="280"/>
      <c r="K502" s="280"/>
      <c r="L502" s="281"/>
      <c r="M502" s="56"/>
      <c r="N502" s="279" t="s">
        <v>40</v>
      </c>
      <c r="O502" s="280"/>
      <c r="P502" s="280"/>
      <c r="Q502" s="280"/>
      <c r="R502" s="281"/>
    </row>
    <row r="503" spans="8:27" x14ac:dyDescent="0.25">
      <c r="H503" s="46" t="s">
        <v>32</v>
      </c>
      <c r="I503" s="279" t="s">
        <v>41</v>
      </c>
      <c r="J503" s="280"/>
      <c r="K503" s="280"/>
      <c r="L503" s="281"/>
      <c r="M503" s="47" t="s">
        <v>42</v>
      </c>
      <c r="N503" s="279" t="s">
        <v>43</v>
      </c>
      <c r="O503" s="280"/>
      <c r="P503" s="280"/>
      <c r="Q503" s="280"/>
      <c r="R503" s="281"/>
    </row>
    <row r="504" spans="8:27" x14ac:dyDescent="0.25">
      <c r="H504" s="48" t="s">
        <v>44</v>
      </c>
      <c r="I504" s="279" t="s">
        <v>45</v>
      </c>
      <c r="J504" s="280"/>
      <c r="K504" s="280"/>
      <c r="L504" s="281"/>
      <c r="M504" s="49" t="s">
        <v>46</v>
      </c>
      <c r="N504" s="279" t="s">
        <v>47</v>
      </c>
      <c r="O504" s="280"/>
      <c r="P504" s="280"/>
      <c r="Q504" s="280"/>
      <c r="R504" s="281"/>
    </row>
    <row r="505" spans="8:27" x14ac:dyDescent="0.25">
      <c r="H505" s="36" t="s">
        <v>48</v>
      </c>
      <c r="I505" s="331" t="s">
        <v>49</v>
      </c>
      <c r="J505" s="332"/>
      <c r="K505" s="332"/>
      <c r="L505" s="333"/>
      <c r="M505" s="73" t="s">
        <v>50</v>
      </c>
      <c r="N505" s="331" t="s">
        <v>51</v>
      </c>
      <c r="O505" s="332"/>
      <c r="P505" s="332"/>
      <c r="Q505" s="332"/>
      <c r="R505" s="333"/>
    </row>
    <row r="506" spans="8:27" x14ac:dyDescent="0.25">
      <c r="H506" s="1" t="s">
        <v>29</v>
      </c>
      <c r="I506" s="299" t="s">
        <v>52</v>
      </c>
      <c r="J506" s="299"/>
      <c r="K506" s="299"/>
      <c r="L506" s="299"/>
      <c r="M506" s="1" t="s">
        <v>53</v>
      </c>
      <c r="N506" s="299" t="s">
        <v>54</v>
      </c>
      <c r="O506" s="299"/>
      <c r="P506" s="299"/>
      <c r="Q506" s="299"/>
      <c r="R506" s="299"/>
      <c r="S506" s="1"/>
    </row>
    <row r="507" spans="8:27" x14ac:dyDescent="0.25">
      <c r="H507" s="1" t="s">
        <v>28</v>
      </c>
      <c r="I507" s="299" t="s">
        <v>55</v>
      </c>
      <c r="J507" s="299"/>
      <c r="K507" s="299"/>
      <c r="L507" s="299"/>
      <c r="M507" s="1" t="s">
        <v>31</v>
      </c>
      <c r="N507" s="299" t="s">
        <v>56</v>
      </c>
      <c r="O507" s="299"/>
      <c r="P507" s="299"/>
      <c r="Q507" s="299"/>
      <c r="R507" s="299"/>
      <c r="S507" s="1"/>
    </row>
    <row r="522" spans="1:43" x14ac:dyDescent="0.25">
      <c r="F522" s="387"/>
      <c r="G522" s="388"/>
      <c r="H522" s="309" t="s">
        <v>1</v>
      </c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  <c r="AH522" s="311"/>
      <c r="AI522" s="289" t="s">
        <v>2</v>
      </c>
      <c r="AJ522" s="289"/>
      <c r="AK522" s="289"/>
      <c r="AL522" s="289"/>
      <c r="AM522" s="289"/>
      <c r="AN522" s="289"/>
      <c r="AO522" s="3"/>
      <c r="AP522" s="3"/>
      <c r="AQ522" s="3"/>
    </row>
    <row r="523" spans="1:43" x14ac:dyDescent="0.25">
      <c r="F523" s="389"/>
      <c r="G523" s="390"/>
      <c r="H523" s="343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  <c r="AA523" s="344"/>
      <c r="AB523" s="344"/>
      <c r="AC523" s="344"/>
      <c r="AD523" s="344"/>
      <c r="AE523" s="344"/>
      <c r="AF523" s="344"/>
      <c r="AG523" s="344"/>
      <c r="AH523" s="345"/>
      <c r="AI523" s="289"/>
      <c r="AJ523" s="289"/>
      <c r="AK523" s="289"/>
      <c r="AL523" s="289"/>
      <c r="AM523" s="289"/>
      <c r="AN523" s="289"/>
      <c r="AO523" s="3"/>
      <c r="AP523" s="3"/>
      <c r="AQ523" s="3"/>
    </row>
    <row r="524" spans="1:43" x14ac:dyDescent="0.25">
      <c r="F524" s="389"/>
      <c r="G524" s="390"/>
      <c r="H524" s="307" t="s">
        <v>3</v>
      </c>
      <c r="I524" s="290"/>
      <c r="J524" s="290"/>
      <c r="K524" s="291" t="s">
        <v>4</v>
      </c>
      <c r="L524" s="291"/>
      <c r="M524" s="291"/>
      <c r="N524" s="291"/>
      <c r="O524" s="291"/>
      <c r="P524" s="291"/>
      <c r="Q524" s="291"/>
      <c r="R524" s="291"/>
      <c r="S524" s="291"/>
      <c r="T524" s="291"/>
      <c r="U524" s="291"/>
      <c r="V524" s="291"/>
      <c r="W524" s="291"/>
      <c r="X524" s="291"/>
      <c r="Y524" s="291"/>
      <c r="Z524" s="291"/>
      <c r="AA524" s="291"/>
      <c r="AB524" s="291"/>
      <c r="AC524" s="291"/>
      <c r="AD524" s="291"/>
      <c r="AE524" s="291"/>
      <c r="AF524" s="291"/>
      <c r="AG524" s="291"/>
      <c r="AH524" s="292"/>
      <c r="AI524" s="289" t="s">
        <v>5</v>
      </c>
      <c r="AJ524" s="289"/>
      <c r="AK524" s="289"/>
      <c r="AL524" s="289"/>
      <c r="AM524" s="289"/>
      <c r="AN524" s="289"/>
      <c r="AO524" s="3"/>
      <c r="AP524" s="3"/>
      <c r="AQ524" s="3"/>
    </row>
    <row r="525" spans="1:43" x14ac:dyDescent="0.25">
      <c r="F525" s="389"/>
      <c r="G525" s="390"/>
      <c r="H525" s="5" t="s">
        <v>6</v>
      </c>
      <c r="I525" s="6"/>
      <c r="J525" s="6"/>
      <c r="K525" s="291" t="s">
        <v>7</v>
      </c>
      <c r="L525" s="291"/>
      <c r="M525" s="291"/>
      <c r="N525" s="291"/>
      <c r="O525" s="291"/>
      <c r="P525" s="291"/>
      <c r="Q525" s="291"/>
      <c r="R525" s="291"/>
      <c r="S525" s="291"/>
      <c r="T525" s="291"/>
      <c r="U525" s="291"/>
      <c r="V525" s="291"/>
      <c r="W525" s="291"/>
      <c r="X525" s="291"/>
      <c r="Y525" s="291"/>
      <c r="Z525" s="291"/>
      <c r="AA525" s="291"/>
      <c r="AB525" s="291"/>
      <c r="AC525" s="291"/>
      <c r="AD525" s="291"/>
      <c r="AE525" s="291"/>
      <c r="AF525" s="291"/>
      <c r="AG525" s="291"/>
      <c r="AH525" s="292"/>
      <c r="AI525" s="289"/>
      <c r="AJ525" s="289"/>
      <c r="AK525" s="289"/>
      <c r="AL525" s="289"/>
      <c r="AM525" s="289"/>
      <c r="AN525" s="289"/>
      <c r="AO525" s="3"/>
      <c r="AP525" s="3"/>
      <c r="AQ525" s="3"/>
    </row>
    <row r="526" spans="1:43" x14ac:dyDescent="0.25">
      <c r="F526" s="389"/>
      <c r="G526" s="390"/>
      <c r="H526" s="307" t="s">
        <v>8</v>
      </c>
      <c r="I526" s="290"/>
      <c r="J526" s="290"/>
      <c r="K526" s="291" t="s">
        <v>9</v>
      </c>
      <c r="L526" s="291"/>
      <c r="M526" s="291"/>
      <c r="N526" s="291"/>
      <c r="O526" s="291"/>
      <c r="P526" s="291"/>
      <c r="Q526" s="291"/>
      <c r="R526" s="291"/>
      <c r="S526" s="291"/>
      <c r="T526" s="291"/>
      <c r="U526" s="291"/>
      <c r="V526" s="291"/>
      <c r="W526" s="291"/>
      <c r="X526" s="291"/>
      <c r="Y526" s="291"/>
      <c r="Z526" s="291"/>
      <c r="AA526" s="291"/>
      <c r="AB526" s="291"/>
      <c r="AC526" s="291"/>
      <c r="AD526" s="291"/>
      <c r="AE526" s="291"/>
      <c r="AF526" s="291"/>
      <c r="AG526" s="291"/>
      <c r="AH526" s="292"/>
      <c r="AI526" s="289" t="s">
        <v>10</v>
      </c>
      <c r="AJ526" s="289"/>
      <c r="AK526" s="289"/>
      <c r="AL526" s="289"/>
      <c r="AM526" s="289"/>
      <c r="AN526" s="289"/>
      <c r="AO526" s="3"/>
      <c r="AP526" s="3"/>
      <c r="AQ526" s="3"/>
    </row>
    <row r="527" spans="1:43" x14ac:dyDescent="0.25">
      <c r="F527" s="391"/>
      <c r="G527" s="392"/>
      <c r="H527" s="308" t="s">
        <v>11</v>
      </c>
      <c r="I527" s="293"/>
      <c r="J527" s="293"/>
      <c r="K527" s="294" t="s">
        <v>12</v>
      </c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  <c r="AC527" s="294"/>
      <c r="AD527" s="294"/>
      <c r="AE527" s="294"/>
      <c r="AF527" s="294"/>
      <c r="AG527" s="294"/>
      <c r="AH527" s="295"/>
      <c r="AI527" s="289"/>
      <c r="AJ527" s="289"/>
      <c r="AK527" s="289"/>
      <c r="AL527" s="289"/>
      <c r="AM527" s="289"/>
      <c r="AN527" s="289"/>
      <c r="AO527" s="2"/>
      <c r="AP527" s="2"/>
      <c r="AQ527" s="2"/>
    </row>
    <row r="528" spans="1:43" ht="18.75" x14ac:dyDescent="0.25">
      <c r="A528" s="7" t="s">
        <v>15</v>
      </c>
      <c r="B528" s="8" t="s">
        <v>16</v>
      </c>
      <c r="C528" s="9" t="s">
        <v>17</v>
      </c>
      <c r="D528" s="9" t="s">
        <v>18</v>
      </c>
      <c r="E528" s="9" t="s">
        <v>19</v>
      </c>
      <c r="F528" s="10" t="s">
        <v>20</v>
      </c>
      <c r="G528" s="7" t="s">
        <v>21</v>
      </c>
      <c r="H528" s="7" t="s">
        <v>22</v>
      </c>
      <c r="I528" s="7" t="s">
        <v>23</v>
      </c>
      <c r="J528" s="247" t="s">
        <v>132</v>
      </c>
      <c r="K528" s="247" t="s">
        <v>133</v>
      </c>
      <c r="L528" s="247" t="s">
        <v>134</v>
      </c>
      <c r="M528" s="247" t="s">
        <v>135</v>
      </c>
      <c r="N528" s="247" t="s">
        <v>136</v>
      </c>
      <c r="O528" s="247" t="s">
        <v>137</v>
      </c>
      <c r="P528" s="155" t="s">
        <v>138</v>
      </c>
      <c r="Q528" s="155" t="s">
        <v>139</v>
      </c>
      <c r="R528" s="247" t="s">
        <v>140</v>
      </c>
      <c r="S528" s="247" t="s">
        <v>141</v>
      </c>
      <c r="T528" s="247" t="s">
        <v>142</v>
      </c>
      <c r="U528" s="247" t="s">
        <v>143</v>
      </c>
      <c r="V528" s="247" t="s">
        <v>144</v>
      </c>
      <c r="W528" s="155" t="s">
        <v>145</v>
      </c>
      <c r="X528" s="155" t="s">
        <v>146</v>
      </c>
      <c r="Y528" s="247" t="s">
        <v>147</v>
      </c>
      <c r="Z528" s="247" t="s">
        <v>148</v>
      </c>
      <c r="AA528" s="247" t="s">
        <v>149</v>
      </c>
      <c r="AB528" s="247" t="s">
        <v>150</v>
      </c>
      <c r="AC528" s="247" t="s">
        <v>151</v>
      </c>
      <c r="AD528" s="155" t="s">
        <v>152</v>
      </c>
      <c r="AE528" s="247" t="s">
        <v>153</v>
      </c>
      <c r="AF528" s="247" t="s">
        <v>154</v>
      </c>
      <c r="AG528" s="247" t="s">
        <v>155</v>
      </c>
      <c r="AH528" s="248" t="s">
        <v>156</v>
      </c>
      <c r="AI528" s="247" t="s">
        <v>157</v>
      </c>
      <c r="AJ528" s="247" t="s">
        <v>158</v>
      </c>
      <c r="AK528" s="155" t="s">
        <v>159</v>
      </c>
      <c r="AL528" s="155" t="s">
        <v>160</v>
      </c>
      <c r="AM528" s="247" t="s">
        <v>161</v>
      </c>
      <c r="AN528" s="249" t="s">
        <v>162</v>
      </c>
      <c r="AO528" s="11" t="s">
        <v>24</v>
      </c>
      <c r="AP528" s="11" t="s">
        <v>25</v>
      </c>
      <c r="AQ528" s="11" t="s">
        <v>26</v>
      </c>
    </row>
    <row r="529" spans="6:43" x14ac:dyDescent="0.25">
      <c r="F529" s="32"/>
      <c r="G529" s="1"/>
      <c r="H529" s="15">
        <v>2026</v>
      </c>
      <c r="I529" s="15" t="s">
        <v>163</v>
      </c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  <c r="AH529" s="193"/>
      <c r="AI529" s="193"/>
      <c r="AJ529" s="193"/>
      <c r="AK529" s="193"/>
      <c r="AL529" s="193"/>
      <c r="AM529" s="193"/>
      <c r="AN529" s="192"/>
      <c r="AO529" s="16">
        <f>COUNTIF(Tabla1323444913[[#This Row],[1L]:[Columna1]],"D12")</f>
        <v>0</v>
      </c>
      <c r="AP529" s="17">
        <f>COUNTIF(Tabla1323444913[[#This Row],[1L]:[Columna1]],"N12")</f>
        <v>0</v>
      </c>
      <c r="AQ529" s="18">
        <f>COUNTBLANK(Tabla1323444913[[#This Row],[1L]:[Columna1]])</f>
        <v>31</v>
      </c>
    </row>
    <row r="530" spans="6:43" x14ac:dyDescent="0.25">
      <c r="F530" s="32"/>
      <c r="G530" s="1"/>
      <c r="H530" s="15">
        <v>2026</v>
      </c>
      <c r="I530" s="15" t="s">
        <v>163</v>
      </c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3"/>
      <c r="AK530" s="193"/>
      <c r="AL530" s="193"/>
      <c r="AM530" s="193"/>
      <c r="AN530" s="192"/>
      <c r="AO530" s="17">
        <f>COUNTIF(Tabla1323444913[[#This Row],[1L]:[Columna1]],"D12")</f>
        <v>0</v>
      </c>
      <c r="AP530" s="17">
        <f>COUNTIF(Tabla1323444913[[#This Row],[1L]:[Columna1]],"N12")</f>
        <v>0</v>
      </c>
      <c r="AQ530" s="18">
        <f>COUNTBLANK(Tabla1323444913[[#This Row],[1L]:[Columna1]])</f>
        <v>31</v>
      </c>
    </row>
    <row r="531" spans="6:43" x14ac:dyDescent="0.25">
      <c r="F531" s="32"/>
      <c r="G531" s="1"/>
      <c r="H531" s="15">
        <v>2026</v>
      </c>
      <c r="I531" s="15" t="s">
        <v>163</v>
      </c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  <c r="AH531" s="193"/>
      <c r="AI531" s="193"/>
      <c r="AJ531" s="193"/>
      <c r="AK531" s="193"/>
      <c r="AL531" s="193"/>
      <c r="AM531" s="193"/>
      <c r="AN531" s="192"/>
      <c r="AO531" s="17">
        <f>COUNTIF(Tabla1323444913[[#This Row],[1L]:[Columna1]],"D12")</f>
        <v>0</v>
      </c>
      <c r="AP531" s="17">
        <f>COUNTIF(Tabla1323444913[[#This Row],[1L]:[Columna1]],"N12")</f>
        <v>0</v>
      </c>
      <c r="AQ531" s="27">
        <f>COUNTBLANK(Tabla1323444913[[#This Row],[1L]:[Columna1]])</f>
        <v>31</v>
      </c>
    </row>
    <row r="532" spans="6:43" ht="18.75" x14ac:dyDescent="0.25">
      <c r="F532" s="32"/>
      <c r="G532" s="1"/>
      <c r="H532" s="15">
        <v>2026</v>
      </c>
      <c r="I532" s="15" t="s">
        <v>163</v>
      </c>
      <c r="J532" s="150">
        <f t="shared" ref="J532:AN532" si="30">COUNTIF(J529:J531,"D12")</f>
        <v>0</v>
      </c>
      <c r="K532" s="150">
        <f t="shared" si="30"/>
        <v>0</v>
      </c>
      <c r="L532" s="150">
        <f t="shared" si="30"/>
        <v>0</v>
      </c>
      <c r="M532" s="150">
        <f t="shared" si="30"/>
        <v>0</v>
      </c>
      <c r="N532" s="150">
        <f t="shared" si="30"/>
        <v>0</v>
      </c>
      <c r="O532" s="150">
        <f t="shared" si="30"/>
        <v>0</v>
      </c>
      <c r="P532" s="150">
        <f t="shared" si="30"/>
        <v>0</v>
      </c>
      <c r="Q532" s="150">
        <f t="shared" si="30"/>
        <v>0</v>
      </c>
      <c r="R532" s="150">
        <f t="shared" si="30"/>
        <v>0</v>
      </c>
      <c r="S532" s="150">
        <f t="shared" si="30"/>
        <v>0</v>
      </c>
      <c r="T532" s="150">
        <f t="shared" si="30"/>
        <v>0</v>
      </c>
      <c r="U532" s="150">
        <f t="shared" si="30"/>
        <v>0</v>
      </c>
      <c r="V532" s="150">
        <f t="shared" si="30"/>
        <v>0</v>
      </c>
      <c r="W532" s="150">
        <f t="shared" si="30"/>
        <v>0</v>
      </c>
      <c r="X532" s="150">
        <f t="shared" si="30"/>
        <v>0</v>
      </c>
      <c r="Y532" s="150">
        <f t="shared" si="30"/>
        <v>0</v>
      </c>
      <c r="Z532" s="150">
        <f t="shared" si="30"/>
        <v>0</v>
      </c>
      <c r="AA532" s="150">
        <f t="shared" si="30"/>
        <v>0</v>
      </c>
      <c r="AB532" s="150">
        <f t="shared" si="30"/>
        <v>0</v>
      </c>
      <c r="AC532" s="150">
        <f t="shared" si="30"/>
        <v>0</v>
      </c>
      <c r="AD532" s="150">
        <f t="shared" si="30"/>
        <v>0</v>
      </c>
      <c r="AE532" s="150">
        <f t="shared" si="30"/>
        <v>0</v>
      </c>
      <c r="AF532" s="150">
        <f t="shared" si="30"/>
        <v>0</v>
      </c>
      <c r="AG532" s="150">
        <f t="shared" si="30"/>
        <v>0</v>
      </c>
      <c r="AH532" s="150">
        <f t="shared" si="30"/>
        <v>0</v>
      </c>
      <c r="AI532" s="150">
        <f t="shared" si="30"/>
        <v>0</v>
      </c>
      <c r="AJ532" s="150">
        <f t="shared" si="30"/>
        <v>0</v>
      </c>
      <c r="AK532" s="150">
        <f t="shared" si="30"/>
        <v>0</v>
      </c>
      <c r="AL532" s="150">
        <f t="shared" si="30"/>
        <v>0</v>
      </c>
      <c r="AM532" s="150">
        <f t="shared" si="30"/>
        <v>0</v>
      </c>
      <c r="AN532" s="150">
        <f t="shared" si="30"/>
        <v>0</v>
      </c>
      <c r="AO532" s="33"/>
      <c r="AP532" s="33"/>
      <c r="AQ532" s="34"/>
    </row>
    <row r="533" spans="6:43" ht="18.75" x14ac:dyDescent="0.25">
      <c r="F533" s="35"/>
      <c r="G533" s="36"/>
      <c r="H533" s="15">
        <v>2026</v>
      </c>
      <c r="I533" s="15" t="s">
        <v>163</v>
      </c>
      <c r="J533" s="151">
        <f t="shared" ref="J533:AN533" si="31">COUNTIF(J529:J531,"N12")</f>
        <v>0</v>
      </c>
      <c r="K533" s="151">
        <f t="shared" si="31"/>
        <v>0</v>
      </c>
      <c r="L533" s="151">
        <f t="shared" si="31"/>
        <v>0</v>
      </c>
      <c r="M533" s="151">
        <f t="shared" si="31"/>
        <v>0</v>
      </c>
      <c r="N533" s="151">
        <f t="shared" si="31"/>
        <v>0</v>
      </c>
      <c r="O533" s="151">
        <f t="shared" si="31"/>
        <v>0</v>
      </c>
      <c r="P533" s="151">
        <f t="shared" si="31"/>
        <v>0</v>
      </c>
      <c r="Q533" s="151">
        <f t="shared" si="31"/>
        <v>0</v>
      </c>
      <c r="R533" s="151">
        <f t="shared" si="31"/>
        <v>0</v>
      </c>
      <c r="S533" s="151">
        <f t="shared" si="31"/>
        <v>0</v>
      </c>
      <c r="T533" s="151">
        <f t="shared" si="31"/>
        <v>0</v>
      </c>
      <c r="U533" s="151">
        <f t="shared" si="31"/>
        <v>0</v>
      </c>
      <c r="V533" s="151">
        <f t="shared" si="31"/>
        <v>0</v>
      </c>
      <c r="W533" s="151">
        <f t="shared" si="31"/>
        <v>0</v>
      </c>
      <c r="X533" s="151">
        <f t="shared" si="31"/>
        <v>0</v>
      </c>
      <c r="Y533" s="151">
        <f t="shared" si="31"/>
        <v>0</v>
      </c>
      <c r="Z533" s="151">
        <f t="shared" si="31"/>
        <v>0</v>
      </c>
      <c r="AA533" s="151">
        <f t="shared" si="31"/>
        <v>0</v>
      </c>
      <c r="AB533" s="151">
        <f t="shared" si="31"/>
        <v>0</v>
      </c>
      <c r="AC533" s="151">
        <f t="shared" si="31"/>
        <v>0</v>
      </c>
      <c r="AD533" s="151">
        <f t="shared" si="31"/>
        <v>0</v>
      </c>
      <c r="AE533" s="151">
        <f t="shared" si="31"/>
        <v>0</v>
      </c>
      <c r="AF533" s="151">
        <f t="shared" si="31"/>
        <v>0</v>
      </c>
      <c r="AG533" s="151">
        <f t="shared" si="31"/>
        <v>0</v>
      </c>
      <c r="AH533" s="151">
        <f t="shared" si="31"/>
        <v>0</v>
      </c>
      <c r="AI533" s="151">
        <f t="shared" si="31"/>
        <v>0</v>
      </c>
      <c r="AJ533" s="151">
        <f t="shared" si="31"/>
        <v>0</v>
      </c>
      <c r="AK533" s="151">
        <f t="shared" si="31"/>
        <v>0</v>
      </c>
      <c r="AL533" s="151">
        <f t="shared" si="31"/>
        <v>0</v>
      </c>
      <c r="AM533" s="151">
        <f t="shared" si="31"/>
        <v>0</v>
      </c>
      <c r="AN533" s="151">
        <f t="shared" si="31"/>
        <v>0</v>
      </c>
      <c r="AO533" s="38"/>
      <c r="AP533" s="38"/>
      <c r="AQ533" s="34"/>
    </row>
    <row r="535" spans="6:43" x14ac:dyDescent="0.25">
      <c r="H535" s="301" t="s">
        <v>36</v>
      </c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3"/>
    </row>
    <row r="536" spans="6:43" x14ac:dyDescent="0.25">
      <c r="H536" s="304" t="s">
        <v>37</v>
      </c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6"/>
    </row>
    <row r="537" spans="6:43" x14ac:dyDescent="0.25">
      <c r="H537" s="304" t="s">
        <v>38</v>
      </c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6"/>
    </row>
    <row r="539" spans="6:43" x14ac:dyDescent="0.25">
      <c r="H539" s="55"/>
      <c r="I539" s="279" t="s">
        <v>39</v>
      </c>
      <c r="J539" s="280"/>
      <c r="K539" s="280"/>
      <c r="L539" s="281"/>
      <c r="M539" s="56"/>
      <c r="N539" s="279" t="s">
        <v>40</v>
      </c>
      <c r="O539" s="280"/>
      <c r="P539" s="280"/>
      <c r="Q539" s="280"/>
      <c r="R539" s="281"/>
    </row>
    <row r="540" spans="6:43" x14ac:dyDescent="0.25">
      <c r="H540" s="46" t="s">
        <v>32</v>
      </c>
      <c r="I540" s="279" t="s">
        <v>41</v>
      </c>
      <c r="J540" s="280"/>
      <c r="K540" s="280"/>
      <c r="L540" s="281"/>
      <c r="M540" s="47" t="s">
        <v>42</v>
      </c>
      <c r="N540" s="279" t="s">
        <v>43</v>
      </c>
      <c r="O540" s="280"/>
      <c r="P540" s="280"/>
      <c r="Q540" s="280"/>
      <c r="R540" s="281"/>
    </row>
    <row r="541" spans="6:43" x14ac:dyDescent="0.25">
      <c r="H541" s="48" t="s">
        <v>44</v>
      </c>
      <c r="I541" s="279" t="s">
        <v>45</v>
      </c>
      <c r="J541" s="280"/>
      <c r="K541" s="280"/>
      <c r="L541" s="281"/>
      <c r="M541" s="49" t="s">
        <v>46</v>
      </c>
      <c r="N541" s="279" t="s">
        <v>47</v>
      </c>
      <c r="O541" s="280"/>
      <c r="P541" s="280"/>
      <c r="Q541" s="280"/>
      <c r="R541" s="281"/>
    </row>
    <row r="542" spans="6:43" x14ac:dyDescent="0.25">
      <c r="H542" s="1" t="s">
        <v>48</v>
      </c>
      <c r="I542" s="279" t="s">
        <v>49</v>
      </c>
      <c r="J542" s="280"/>
      <c r="K542" s="280"/>
      <c r="L542" s="281"/>
      <c r="M542" s="39" t="s">
        <v>50</v>
      </c>
      <c r="N542" s="279" t="s">
        <v>51</v>
      </c>
      <c r="O542" s="280"/>
      <c r="P542" s="280"/>
      <c r="Q542" s="280"/>
      <c r="R542" s="281"/>
    </row>
    <row r="543" spans="6:43" x14ac:dyDescent="0.25">
      <c r="H543" s="1" t="s">
        <v>29</v>
      </c>
      <c r="I543" s="299" t="s">
        <v>52</v>
      </c>
      <c r="J543" s="299"/>
      <c r="K543" s="299"/>
      <c r="L543" s="299"/>
      <c r="M543" s="1" t="s">
        <v>53</v>
      </c>
      <c r="N543" s="299" t="s">
        <v>54</v>
      </c>
      <c r="O543" s="299"/>
      <c r="P543" s="299"/>
      <c r="Q543" s="299"/>
      <c r="R543" s="299"/>
    </row>
    <row r="544" spans="6:43" x14ac:dyDescent="0.25">
      <c r="H544" s="1" t="s">
        <v>28</v>
      </c>
      <c r="I544" s="299" t="s">
        <v>55</v>
      </c>
      <c r="J544" s="299"/>
      <c r="K544" s="299"/>
      <c r="L544" s="299"/>
      <c r="M544" s="1" t="s">
        <v>31</v>
      </c>
      <c r="N544" s="299" t="s">
        <v>56</v>
      </c>
      <c r="O544" s="299"/>
      <c r="P544" s="299"/>
      <c r="Q544" s="299"/>
      <c r="R544" s="299"/>
    </row>
    <row r="559" spans="6:43" x14ac:dyDescent="0.25">
      <c r="F559" s="387"/>
      <c r="G559" s="388"/>
      <c r="H559" s="309" t="s">
        <v>1</v>
      </c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  <c r="AH559" s="311"/>
      <c r="AI559" s="289" t="s">
        <v>2</v>
      </c>
      <c r="AJ559" s="289"/>
      <c r="AK559" s="289"/>
      <c r="AL559" s="289"/>
      <c r="AM559" s="289"/>
      <c r="AN559" s="289"/>
      <c r="AO559" s="3"/>
      <c r="AP559" s="3"/>
      <c r="AQ559" s="3"/>
    </row>
    <row r="560" spans="6:43" x14ac:dyDescent="0.25">
      <c r="F560" s="389"/>
      <c r="G560" s="390"/>
      <c r="H560" s="343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  <c r="AA560" s="344"/>
      <c r="AB560" s="344"/>
      <c r="AC560" s="344"/>
      <c r="AD560" s="344"/>
      <c r="AE560" s="344"/>
      <c r="AF560" s="344"/>
      <c r="AG560" s="344"/>
      <c r="AH560" s="345"/>
      <c r="AI560" s="289"/>
      <c r="AJ560" s="289"/>
      <c r="AK560" s="289"/>
      <c r="AL560" s="289"/>
      <c r="AM560" s="289"/>
      <c r="AN560" s="289"/>
      <c r="AO560" s="3"/>
      <c r="AP560" s="3"/>
      <c r="AQ560" s="3"/>
    </row>
    <row r="561" spans="1:43" x14ac:dyDescent="0.25">
      <c r="F561" s="389"/>
      <c r="G561" s="390"/>
      <c r="H561" s="307" t="s">
        <v>3</v>
      </c>
      <c r="I561" s="290"/>
      <c r="J561" s="290"/>
      <c r="K561" s="291" t="s">
        <v>4</v>
      </c>
      <c r="L561" s="291"/>
      <c r="M561" s="291"/>
      <c r="N561" s="291"/>
      <c r="O561" s="291"/>
      <c r="P561" s="291"/>
      <c r="Q561" s="291"/>
      <c r="R561" s="291"/>
      <c r="S561" s="291"/>
      <c r="T561" s="291"/>
      <c r="U561" s="291"/>
      <c r="V561" s="291"/>
      <c r="W561" s="291"/>
      <c r="X561" s="291"/>
      <c r="Y561" s="291"/>
      <c r="Z561" s="291"/>
      <c r="AA561" s="291"/>
      <c r="AB561" s="291"/>
      <c r="AC561" s="291"/>
      <c r="AD561" s="291"/>
      <c r="AE561" s="291"/>
      <c r="AF561" s="291"/>
      <c r="AG561" s="291"/>
      <c r="AH561" s="292"/>
      <c r="AI561" s="289" t="s">
        <v>5</v>
      </c>
      <c r="AJ561" s="289"/>
      <c r="AK561" s="289"/>
      <c r="AL561" s="289"/>
      <c r="AM561" s="289"/>
      <c r="AN561" s="289"/>
      <c r="AO561" s="3"/>
      <c r="AP561" s="3"/>
      <c r="AQ561" s="3"/>
    </row>
    <row r="562" spans="1:43" x14ac:dyDescent="0.25">
      <c r="F562" s="389"/>
      <c r="G562" s="390"/>
      <c r="H562" s="5" t="s">
        <v>6</v>
      </c>
      <c r="I562" s="6"/>
      <c r="J562" s="6"/>
      <c r="K562" s="291" t="s">
        <v>7</v>
      </c>
      <c r="L562" s="291"/>
      <c r="M562" s="291"/>
      <c r="N562" s="291"/>
      <c r="O562" s="291"/>
      <c r="P562" s="291"/>
      <c r="Q562" s="291"/>
      <c r="R562" s="291"/>
      <c r="S562" s="291"/>
      <c r="T562" s="291"/>
      <c r="U562" s="291"/>
      <c r="V562" s="291"/>
      <c r="W562" s="291"/>
      <c r="X562" s="291"/>
      <c r="Y562" s="291"/>
      <c r="Z562" s="291"/>
      <c r="AA562" s="291"/>
      <c r="AB562" s="291"/>
      <c r="AC562" s="291"/>
      <c r="AD562" s="291"/>
      <c r="AE562" s="291"/>
      <c r="AF562" s="291"/>
      <c r="AG562" s="291"/>
      <c r="AH562" s="292"/>
      <c r="AI562" s="289"/>
      <c r="AJ562" s="289"/>
      <c r="AK562" s="289"/>
      <c r="AL562" s="289"/>
      <c r="AM562" s="289"/>
      <c r="AN562" s="289"/>
      <c r="AO562" s="3"/>
      <c r="AP562" s="3"/>
      <c r="AQ562" s="3"/>
    </row>
    <row r="563" spans="1:43" x14ac:dyDescent="0.25">
      <c r="F563" s="389"/>
      <c r="G563" s="390"/>
      <c r="H563" s="307" t="s">
        <v>8</v>
      </c>
      <c r="I563" s="290"/>
      <c r="J563" s="290"/>
      <c r="K563" s="291" t="s">
        <v>9</v>
      </c>
      <c r="L563" s="291"/>
      <c r="M563" s="291"/>
      <c r="N563" s="291"/>
      <c r="O563" s="291"/>
      <c r="P563" s="291"/>
      <c r="Q563" s="291"/>
      <c r="R563" s="291"/>
      <c r="S563" s="291"/>
      <c r="T563" s="291"/>
      <c r="U563" s="291"/>
      <c r="V563" s="291"/>
      <c r="W563" s="291"/>
      <c r="X563" s="291"/>
      <c r="Y563" s="291"/>
      <c r="Z563" s="291"/>
      <c r="AA563" s="291"/>
      <c r="AB563" s="291"/>
      <c r="AC563" s="291"/>
      <c r="AD563" s="291"/>
      <c r="AE563" s="291"/>
      <c r="AF563" s="291"/>
      <c r="AG563" s="291"/>
      <c r="AH563" s="292"/>
      <c r="AI563" s="289" t="s">
        <v>10</v>
      </c>
      <c r="AJ563" s="289"/>
      <c r="AK563" s="289"/>
      <c r="AL563" s="289"/>
      <c r="AM563" s="289"/>
      <c r="AN563" s="289"/>
      <c r="AO563" s="3"/>
      <c r="AP563" s="3"/>
      <c r="AQ563" s="3"/>
    </row>
    <row r="564" spans="1:43" x14ac:dyDescent="0.25">
      <c r="F564" s="391"/>
      <c r="G564" s="392"/>
      <c r="H564" s="308" t="s">
        <v>11</v>
      </c>
      <c r="I564" s="293"/>
      <c r="J564" s="293"/>
      <c r="K564" s="294" t="s">
        <v>12</v>
      </c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  <c r="AC564" s="294"/>
      <c r="AD564" s="294"/>
      <c r="AE564" s="294"/>
      <c r="AF564" s="294"/>
      <c r="AG564" s="294"/>
      <c r="AH564" s="295"/>
      <c r="AI564" s="289"/>
      <c r="AJ564" s="289"/>
      <c r="AK564" s="289"/>
      <c r="AL564" s="289"/>
      <c r="AM564" s="289"/>
      <c r="AN564" s="289"/>
      <c r="AO564" s="2"/>
      <c r="AP564" s="2"/>
      <c r="AQ564" s="2"/>
    </row>
    <row r="565" spans="1:43" ht="18.75" x14ac:dyDescent="0.25">
      <c r="A565" s="7" t="s">
        <v>15</v>
      </c>
      <c r="B565" s="8" t="s">
        <v>16</v>
      </c>
      <c r="C565" s="9" t="s">
        <v>17</v>
      </c>
      <c r="D565" s="9" t="s">
        <v>18</v>
      </c>
      <c r="E565" s="9" t="s">
        <v>19</v>
      </c>
      <c r="F565" s="10" t="s">
        <v>20</v>
      </c>
      <c r="G565" s="7" t="s">
        <v>21</v>
      </c>
      <c r="H565" s="7" t="s">
        <v>22</v>
      </c>
      <c r="I565" s="7" t="s">
        <v>23</v>
      </c>
      <c r="J565" s="247" t="s">
        <v>132</v>
      </c>
      <c r="K565" s="247" t="s">
        <v>133</v>
      </c>
      <c r="L565" s="247" t="s">
        <v>134</v>
      </c>
      <c r="M565" s="247" t="s">
        <v>135</v>
      </c>
      <c r="N565" s="247" t="s">
        <v>136</v>
      </c>
      <c r="O565" s="247" t="s">
        <v>137</v>
      </c>
      <c r="P565" s="155" t="s">
        <v>138</v>
      </c>
      <c r="Q565" s="155" t="s">
        <v>139</v>
      </c>
      <c r="R565" s="247" t="s">
        <v>140</v>
      </c>
      <c r="S565" s="247" t="s">
        <v>141</v>
      </c>
      <c r="T565" s="247" t="s">
        <v>142</v>
      </c>
      <c r="U565" s="247" t="s">
        <v>143</v>
      </c>
      <c r="V565" s="247" t="s">
        <v>144</v>
      </c>
      <c r="W565" s="155" t="s">
        <v>145</v>
      </c>
      <c r="X565" s="155" t="s">
        <v>146</v>
      </c>
      <c r="Y565" s="247" t="s">
        <v>147</v>
      </c>
      <c r="Z565" s="247" t="s">
        <v>148</v>
      </c>
      <c r="AA565" s="247" t="s">
        <v>149</v>
      </c>
      <c r="AB565" s="247" t="s">
        <v>150</v>
      </c>
      <c r="AC565" s="247" t="s">
        <v>151</v>
      </c>
      <c r="AD565" s="155" t="s">
        <v>152</v>
      </c>
      <c r="AE565" s="247" t="s">
        <v>153</v>
      </c>
      <c r="AF565" s="247" t="s">
        <v>154</v>
      </c>
      <c r="AG565" s="247" t="s">
        <v>155</v>
      </c>
      <c r="AH565" s="248" t="s">
        <v>156</v>
      </c>
      <c r="AI565" s="247" t="s">
        <v>157</v>
      </c>
      <c r="AJ565" s="247" t="s">
        <v>158</v>
      </c>
      <c r="AK565" s="155" t="s">
        <v>159</v>
      </c>
      <c r="AL565" s="155" t="s">
        <v>160</v>
      </c>
      <c r="AM565" s="247" t="s">
        <v>161</v>
      </c>
      <c r="AN565" s="249" t="s">
        <v>162</v>
      </c>
      <c r="AO565" s="11" t="s">
        <v>24</v>
      </c>
      <c r="AP565" s="11" t="s">
        <v>25</v>
      </c>
      <c r="AQ565" s="11" t="s">
        <v>26</v>
      </c>
    </row>
    <row r="566" spans="1:43" x14ac:dyDescent="0.25">
      <c r="F566" s="32"/>
      <c r="G566" s="1"/>
      <c r="H566" s="15">
        <v>2026</v>
      </c>
      <c r="I566" s="15" t="s">
        <v>163</v>
      </c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  <c r="AH566" s="193"/>
      <c r="AI566" s="193"/>
      <c r="AJ566" s="193"/>
      <c r="AK566" s="193"/>
      <c r="AL566" s="193"/>
      <c r="AM566" s="193"/>
      <c r="AN566" s="192"/>
      <c r="AO566" s="16">
        <f>COUNTIF(Tabla1323444916[[#This Row],[1L]:[Columna1]],"D12")</f>
        <v>0</v>
      </c>
      <c r="AP566" s="17">
        <f>COUNTIF(Tabla1323444916[[#This Row],[1L]:[Columna1]],"N12")</f>
        <v>0</v>
      </c>
      <c r="AQ566" s="18">
        <f>COUNTBLANK(Tabla1323444916[[#This Row],[1L]:[Columna1]])</f>
        <v>31</v>
      </c>
    </row>
    <row r="567" spans="1:43" x14ac:dyDescent="0.25">
      <c r="F567" s="32"/>
      <c r="G567" s="1"/>
      <c r="H567" s="15">
        <v>2026</v>
      </c>
      <c r="I567" s="15" t="s">
        <v>163</v>
      </c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  <c r="AH567" s="193"/>
      <c r="AI567" s="193"/>
      <c r="AJ567" s="193"/>
      <c r="AK567" s="193"/>
      <c r="AL567" s="193"/>
      <c r="AM567" s="193"/>
      <c r="AN567" s="192"/>
      <c r="AO567" s="17">
        <f>COUNTIF(Tabla1323444916[[#This Row],[1L]:[Columna1]],"D12")</f>
        <v>0</v>
      </c>
      <c r="AP567" s="17">
        <f>COUNTIF(Tabla1323444916[[#This Row],[1L]:[Columna1]],"N12")</f>
        <v>0</v>
      </c>
      <c r="AQ567" s="18">
        <f>COUNTBLANK(Tabla1323444916[[#This Row],[1L]:[Columna1]])</f>
        <v>31</v>
      </c>
    </row>
    <row r="568" spans="1:43" x14ac:dyDescent="0.25">
      <c r="F568" s="32"/>
      <c r="G568" s="1"/>
      <c r="H568" s="15">
        <v>2026</v>
      </c>
      <c r="I568" s="15" t="s">
        <v>163</v>
      </c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  <c r="AH568" s="193"/>
      <c r="AI568" s="193"/>
      <c r="AJ568" s="193"/>
      <c r="AK568" s="193"/>
      <c r="AL568" s="193"/>
      <c r="AM568" s="193"/>
      <c r="AN568" s="192"/>
      <c r="AO568" s="17">
        <f>COUNTIF(Tabla1323444916[[#This Row],[1L]:[Columna1]],"D12")</f>
        <v>0</v>
      </c>
      <c r="AP568" s="17">
        <f>COUNTIF(Tabla1323444916[[#This Row],[1L]:[Columna1]],"N12")</f>
        <v>0</v>
      </c>
      <c r="AQ568" s="27">
        <f>COUNTBLANK(Tabla1323444916[[#This Row],[1L]:[Columna1]])</f>
        <v>31</v>
      </c>
    </row>
    <row r="569" spans="1:43" ht="18.75" x14ac:dyDescent="0.25">
      <c r="F569" s="32"/>
      <c r="G569" s="1"/>
      <c r="H569" s="15">
        <v>2026</v>
      </c>
      <c r="I569" s="15" t="s">
        <v>163</v>
      </c>
      <c r="J569" s="150">
        <f t="shared" ref="J569:AN569" si="32">COUNTIF(J566:J568,"D12")</f>
        <v>0</v>
      </c>
      <c r="K569" s="150">
        <f t="shared" si="32"/>
        <v>0</v>
      </c>
      <c r="L569" s="150">
        <f t="shared" si="32"/>
        <v>0</v>
      </c>
      <c r="M569" s="150">
        <f t="shared" si="32"/>
        <v>0</v>
      </c>
      <c r="N569" s="150">
        <f t="shared" si="32"/>
        <v>0</v>
      </c>
      <c r="O569" s="150">
        <f t="shared" si="32"/>
        <v>0</v>
      </c>
      <c r="P569" s="150">
        <f t="shared" si="32"/>
        <v>0</v>
      </c>
      <c r="Q569" s="150">
        <f t="shared" si="32"/>
        <v>0</v>
      </c>
      <c r="R569" s="150">
        <f t="shared" si="32"/>
        <v>0</v>
      </c>
      <c r="S569" s="150">
        <f t="shared" si="32"/>
        <v>0</v>
      </c>
      <c r="T569" s="150">
        <f t="shared" si="32"/>
        <v>0</v>
      </c>
      <c r="U569" s="150">
        <f t="shared" si="32"/>
        <v>0</v>
      </c>
      <c r="V569" s="150">
        <f t="shared" si="32"/>
        <v>0</v>
      </c>
      <c r="W569" s="150">
        <f t="shared" si="32"/>
        <v>0</v>
      </c>
      <c r="X569" s="150">
        <f t="shared" si="32"/>
        <v>0</v>
      </c>
      <c r="Y569" s="150">
        <f t="shared" si="32"/>
        <v>0</v>
      </c>
      <c r="Z569" s="150">
        <f t="shared" si="32"/>
        <v>0</v>
      </c>
      <c r="AA569" s="150">
        <f t="shared" si="32"/>
        <v>0</v>
      </c>
      <c r="AB569" s="150">
        <f t="shared" si="32"/>
        <v>0</v>
      </c>
      <c r="AC569" s="150">
        <f t="shared" si="32"/>
        <v>0</v>
      </c>
      <c r="AD569" s="150">
        <f t="shared" si="32"/>
        <v>0</v>
      </c>
      <c r="AE569" s="150">
        <f t="shared" si="32"/>
        <v>0</v>
      </c>
      <c r="AF569" s="150">
        <f t="shared" si="32"/>
        <v>0</v>
      </c>
      <c r="AG569" s="150">
        <f t="shared" si="32"/>
        <v>0</v>
      </c>
      <c r="AH569" s="150">
        <f t="shared" si="32"/>
        <v>0</v>
      </c>
      <c r="AI569" s="150">
        <f t="shared" si="32"/>
        <v>0</v>
      </c>
      <c r="AJ569" s="150">
        <f t="shared" si="32"/>
        <v>0</v>
      </c>
      <c r="AK569" s="150">
        <f t="shared" si="32"/>
        <v>0</v>
      </c>
      <c r="AL569" s="150">
        <f t="shared" si="32"/>
        <v>0</v>
      </c>
      <c r="AM569" s="150">
        <f t="shared" si="32"/>
        <v>0</v>
      </c>
      <c r="AN569" s="150">
        <f t="shared" si="32"/>
        <v>0</v>
      </c>
      <c r="AO569" s="33"/>
      <c r="AP569" s="33"/>
      <c r="AQ569" s="34"/>
    </row>
    <row r="570" spans="1:43" x14ac:dyDescent="0.25">
      <c r="F570" s="35"/>
      <c r="G570" s="36"/>
      <c r="H570" s="15">
        <v>2026</v>
      </c>
      <c r="I570" s="15" t="s">
        <v>163</v>
      </c>
      <c r="J570" s="37">
        <f t="shared" ref="J570:AN570" si="33">COUNTIF(J566:J568,"N12")</f>
        <v>0</v>
      </c>
      <c r="K570" s="37">
        <f t="shared" si="33"/>
        <v>0</v>
      </c>
      <c r="L570" s="37">
        <f t="shared" si="33"/>
        <v>0</v>
      </c>
      <c r="M570" s="37">
        <f t="shared" si="33"/>
        <v>0</v>
      </c>
      <c r="N570" s="37">
        <f t="shared" si="33"/>
        <v>0</v>
      </c>
      <c r="O570" s="37">
        <f t="shared" si="33"/>
        <v>0</v>
      </c>
      <c r="P570" s="37">
        <f t="shared" si="33"/>
        <v>0</v>
      </c>
      <c r="Q570" s="37">
        <f t="shared" si="33"/>
        <v>0</v>
      </c>
      <c r="R570" s="37">
        <f t="shared" si="33"/>
        <v>0</v>
      </c>
      <c r="S570" s="37">
        <f t="shared" si="33"/>
        <v>0</v>
      </c>
      <c r="T570" s="37">
        <f t="shared" si="33"/>
        <v>0</v>
      </c>
      <c r="U570" s="37">
        <f t="shared" si="33"/>
        <v>0</v>
      </c>
      <c r="V570" s="37">
        <f t="shared" si="33"/>
        <v>0</v>
      </c>
      <c r="W570" s="37">
        <f t="shared" si="33"/>
        <v>0</v>
      </c>
      <c r="X570" s="37">
        <f t="shared" si="33"/>
        <v>0</v>
      </c>
      <c r="Y570" s="37">
        <f t="shared" si="33"/>
        <v>0</v>
      </c>
      <c r="Z570" s="37">
        <f t="shared" si="33"/>
        <v>0</v>
      </c>
      <c r="AA570" s="37">
        <f t="shared" si="33"/>
        <v>0</v>
      </c>
      <c r="AB570" s="37">
        <f t="shared" si="33"/>
        <v>0</v>
      </c>
      <c r="AC570" s="37">
        <f t="shared" si="33"/>
        <v>0</v>
      </c>
      <c r="AD570" s="37">
        <f t="shared" si="33"/>
        <v>0</v>
      </c>
      <c r="AE570" s="37">
        <f t="shared" si="33"/>
        <v>0</v>
      </c>
      <c r="AF570" s="37">
        <f t="shared" si="33"/>
        <v>0</v>
      </c>
      <c r="AG570" s="37">
        <f t="shared" si="33"/>
        <v>0</v>
      </c>
      <c r="AH570" s="37">
        <f t="shared" si="33"/>
        <v>0</v>
      </c>
      <c r="AI570" s="37">
        <f t="shared" si="33"/>
        <v>0</v>
      </c>
      <c r="AJ570" s="37">
        <f t="shared" si="33"/>
        <v>0</v>
      </c>
      <c r="AK570" s="37">
        <f t="shared" si="33"/>
        <v>0</v>
      </c>
      <c r="AL570" s="37">
        <f t="shared" si="33"/>
        <v>0</v>
      </c>
      <c r="AM570" s="37">
        <f t="shared" si="33"/>
        <v>0</v>
      </c>
      <c r="AN570" s="37">
        <f t="shared" si="33"/>
        <v>0</v>
      </c>
      <c r="AO570" s="38"/>
      <c r="AP570" s="38"/>
      <c r="AQ570" s="34"/>
    </row>
    <row r="572" spans="1:43" x14ac:dyDescent="0.25">
      <c r="H572" s="301" t="s">
        <v>36</v>
      </c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3"/>
    </row>
    <row r="573" spans="1:43" x14ac:dyDescent="0.25">
      <c r="H573" s="304" t="s">
        <v>37</v>
      </c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6"/>
    </row>
    <row r="574" spans="1:43" x14ac:dyDescent="0.25">
      <c r="H574" s="304" t="s">
        <v>38</v>
      </c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6"/>
    </row>
    <row r="576" spans="1:43" x14ac:dyDescent="0.25">
      <c r="H576" s="55"/>
      <c r="I576" s="279" t="s">
        <v>39</v>
      </c>
      <c r="J576" s="280"/>
      <c r="K576" s="280"/>
      <c r="L576" s="281"/>
      <c r="M576" s="56"/>
      <c r="N576" s="279" t="s">
        <v>40</v>
      </c>
      <c r="O576" s="280"/>
      <c r="P576" s="280"/>
      <c r="Q576" s="280"/>
      <c r="R576" s="281"/>
    </row>
    <row r="577" spans="8:19" x14ac:dyDescent="0.25">
      <c r="H577" s="46" t="s">
        <v>32</v>
      </c>
      <c r="I577" s="279" t="s">
        <v>41</v>
      </c>
      <c r="J577" s="280"/>
      <c r="K577" s="280"/>
      <c r="L577" s="281"/>
      <c r="M577" s="47" t="s">
        <v>42</v>
      </c>
      <c r="N577" s="279" t="s">
        <v>43</v>
      </c>
      <c r="O577" s="280"/>
      <c r="P577" s="280"/>
      <c r="Q577" s="280"/>
      <c r="R577" s="281"/>
    </row>
    <row r="578" spans="8:19" x14ac:dyDescent="0.25">
      <c r="H578" s="147" t="s">
        <v>44</v>
      </c>
      <c r="I578" s="331" t="s">
        <v>45</v>
      </c>
      <c r="J578" s="332"/>
      <c r="K578" s="332"/>
      <c r="L578" s="333"/>
      <c r="M578" s="148" t="s">
        <v>46</v>
      </c>
      <c r="N578" s="331" t="s">
        <v>47</v>
      </c>
      <c r="O578" s="332"/>
      <c r="P578" s="332"/>
      <c r="Q578" s="332"/>
      <c r="R578" s="333"/>
    </row>
    <row r="579" spans="8:19" x14ac:dyDescent="0.25">
      <c r="H579" s="1" t="s">
        <v>48</v>
      </c>
      <c r="I579" s="299" t="s">
        <v>49</v>
      </c>
      <c r="J579" s="299"/>
      <c r="K579" s="299"/>
      <c r="L579" s="299"/>
      <c r="M579" s="39" t="s">
        <v>50</v>
      </c>
      <c r="N579" s="299" t="s">
        <v>51</v>
      </c>
      <c r="O579" s="299"/>
      <c r="P579" s="299"/>
      <c r="Q579" s="299"/>
      <c r="R579" s="299"/>
      <c r="S579" s="1"/>
    </row>
    <row r="580" spans="8:19" x14ac:dyDescent="0.25">
      <c r="H580" s="1" t="s">
        <v>29</v>
      </c>
      <c r="I580" s="299" t="s">
        <v>52</v>
      </c>
      <c r="J580" s="299"/>
      <c r="K580" s="299"/>
      <c r="L580" s="299"/>
      <c r="M580" s="1" t="s">
        <v>53</v>
      </c>
      <c r="N580" s="299" t="s">
        <v>54</v>
      </c>
      <c r="O580" s="299"/>
      <c r="P580" s="299"/>
      <c r="Q580" s="299"/>
      <c r="R580" s="299"/>
      <c r="S580" s="1"/>
    </row>
    <row r="581" spans="8:19" x14ac:dyDescent="0.25">
      <c r="H581" s="1" t="s">
        <v>28</v>
      </c>
      <c r="I581" s="299" t="s">
        <v>55</v>
      </c>
      <c r="J581" s="299"/>
      <c r="K581" s="299"/>
      <c r="L581" s="299"/>
      <c r="M581" s="1" t="s">
        <v>31</v>
      </c>
      <c r="N581" s="299" t="s">
        <v>56</v>
      </c>
      <c r="O581" s="299"/>
      <c r="P581" s="299"/>
      <c r="Q581" s="299"/>
      <c r="R581" s="299"/>
      <c r="S581" s="1"/>
    </row>
    <row r="596" spans="1:43" x14ac:dyDescent="0.25">
      <c r="F596" s="387"/>
      <c r="G596" s="388"/>
      <c r="H596" s="309" t="s">
        <v>1</v>
      </c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  <c r="AH596" s="311"/>
      <c r="AI596" s="289" t="s">
        <v>2</v>
      </c>
      <c r="AJ596" s="289"/>
      <c r="AK596" s="289"/>
      <c r="AL596" s="289"/>
      <c r="AM596" s="289"/>
      <c r="AN596" s="289"/>
      <c r="AO596" s="3"/>
      <c r="AP596" s="3"/>
      <c r="AQ596" s="3"/>
    </row>
    <row r="597" spans="1:43" x14ac:dyDescent="0.25">
      <c r="F597" s="389"/>
      <c r="G597" s="390"/>
      <c r="H597" s="343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  <c r="AA597" s="344"/>
      <c r="AB597" s="344"/>
      <c r="AC597" s="344"/>
      <c r="AD597" s="344"/>
      <c r="AE597" s="344"/>
      <c r="AF597" s="344"/>
      <c r="AG597" s="344"/>
      <c r="AH597" s="345"/>
      <c r="AI597" s="289"/>
      <c r="AJ597" s="289"/>
      <c r="AK597" s="289"/>
      <c r="AL597" s="289"/>
      <c r="AM597" s="289"/>
      <c r="AN597" s="289"/>
      <c r="AO597" s="3"/>
      <c r="AP597" s="3"/>
      <c r="AQ597" s="3"/>
    </row>
    <row r="598" spans="1:43" x14ac:dyDescent="0.25">
      <c r="F598" s="389"/>
      <c r="G598" s="390"/>
      <c r="H598" s="307" t="s">
        <v>3</v>
      </c>
      <c r="I598" s="290"/>
      <c r="J598" s="290"/>
      <c r="K598" s="291" t="s">
        <v>4</v>
      </c>
      <c r="L598" s="291"/>
      <c r="M598" s="291"/>
      <c r="N598" s="291"/>
      <c r="O598" s="291"/>
      <c r="P598" s="291"/>
      <c r="Q598" s="291"/>
      <c r="R598" s="291"/>
      <c r="S598" s="291"/>
      <c r="T598" s="291"/>
      <c r="U598" s="291"/>
      <c r="V598" s="291"/>
      <c r="W598" s="291"/>
      <c r="X598" s="291"/>
      <c r="Y598" s="291"/>
      <c r="Z598" s="291"/>
      <c r="AA598" s="291"/>
      <c r="AB598" s="291"/>
      <c r="AC598" s="291"/>
      <c r="AD598" s="291"/>
      <c r="AE598" s="291"/>
      <c r="AF598" s="291"/>
      <c r="AG598" s="291"/>
      <c r="AH598" s="292"/>
      <c r="AI598" s="289" t="s">
        <v>5</v>
      </c>
      <c r="AJ598" s="289"/>
      <c r="AK598" s="289"/>
      <c r="AL598" s="289"/>
      <c r="AM598" s="289"/>
      <c r="AN598" s="289"/>
      <c r="AO598" s="3"/>
      <c r="AP598" s="3"/>
      <c r="AQ598" s="3"/>
    </row>
    <row r="599" spans="1:43" x14ac:dyDescent="0.25">
      <c r="F599" s="389"/>
      <c r="G599" s="390"/>
      <c r="H599" s="5" t="s">
        <v>6</v>
      </c>
      <c r="I599" s="6"/>
      <c r="J599" s="6"/>
      <c r="K599" s="291" t="s">
        <v>7</v>
      </c>
      <c r="L599" s="291"/>
      <c r="M599" s="291"/>
      <c r="N599" s="291"/>
      <c r="O599" s="291"/>
      <c r="P599" s="291"/>
      <c r="Q599" s="291"/>
      <c r="R599" s="291"/>
      <c r="S599" s="291"/>
      <c r="T599" s="291"/>
      <c r="U599" s="291"/>
      <c r="V599" s="291"/>
      <c r="W599" s="291"/>
      <c r="X599" s="291"/>
      <c r="Y599" s="291"/>
      <c r="Z599" s="291"/>
      <c r="AA599" s="291"/>
      <c r="AB599" s="291"/>
      <c r="AC599" s="291"/>
      <c r="AD599" s="291"/>
      <c r="AE599" s="291"/>
      <c r="AF599" s="291"/>
      <c r="AG599" s="291"/>
      <c r="AH599" s="292"/>
      <c r="AI599" s="289"/>
      <c r="AJ599" s="289"/>
      <c r="AK599" s="289"/>
      <c r="AL599" s="289"/>
      <c r="AM599" s="289"/>
      <c r="AN599" s="289"/>
      <c r="AO599" s="3"/>
      <c r="AP599" s="3"/>
      <c r="AQ599" s="3"/>
    </row>
    <row r="600" spans="1:43" x14ac:dyDescent="0.25">
      <c r="F600" s="389"/>
      <c r="G600" s="390"/>
      <c r="H600" s="307" t="s">
        <v>8</v>
      </c>
      <c r="I600" s="290"/>
      <c r="J600" s="290"/>
      <c r="K600" s="291" t="s">
        <v>9</v>
      </c>
      <c r="L600" s="291"/>
      <c r="M600" s="291"/>
      <c r="N600" s="291"/>
      <c r="O600" s="291"/>
      <c r="P600" s="291"/>
      <c r="Q600" s="291"/>
      <c r="R600" s="291"/>
      <c r="S600" s="291"/>
      <c r="T600" s="291"/>
      <c r="U600" s="291"/>
      <c r="V600" s="291"/>
      <c r="W600" s="291"/>
      <c r="X600" s="291"/>
      <c r="Y600" s="291"/>
      <c r="Z600" s="291"/>
      <c r="AA600" s="291"/>
      <c r="AB600" s="291"/>
      <c r="AC600" s="291"/>
      <c r="AD600" s="291"/>
      <c r="AE600" s="291"/>
      <c r="AF600" s="291"/>
      <c r="AG600" s="291"/>
      <c r="AH600" s="292"/>
      <c r="AI600" s="289" t="s">
        <v>10</v>
      </c>
      <c r="AJ600" s="289"/>
      <c r="AK600" s="289"/>
      <c r="AL600" s="289"/>
      <c r="AM600" s="289"/>
      <c r="AN600" s="289"/>
      <c r="AO600" s="3"/>
      <c r="AP600" s="3"/>
      <c r="AQ600" s="3"/>
    </row>
    <row r="601" spans="1:43" x14ac:dyDescent="0.25">
      <c r="F601" s="391"/>
      <c r="G601" s="392"/>
      <c r="H601" s="308" t="s">
        <v>11</v>
      </c>
      <c r="I601" s="293"/>
      <c r="J601" s="293"/>
      <c r="K601" s="294" t="s">
        <v>12</v>
      </c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  <c r="AC601" s="294"/>
      <c r="AD601" s="294"/>
      <c r="AE601" s="294"/>
      <c r="AF601" s="294"/>
      <c r="AG601" s="294"/>
      <c r="AH601" s="295"/>
      <c r="AI601" s="289"/>
      <c r="AJ601" s="289"/>
      <c r="AK601" s="289"/>
      <c r="AL601" s="289"/>
      <c r="AM601" s="289"/>
      <c r="AN601" s="289"/>
      <c r="AO601" s="2"/>
      <c r="AP601" s="2"/>
      <c r="AQ601" s="2"/>
    </row>
    <row r="602" spans="1:43" ht="18.75" x14ac:dyDescent="0.25">
      <c r="A602" s="7" t="s">
        <v>15</v>
      </c>
      <c r="B602" s="8" t="s">
        <v>16</v>
      </c>
      <c r="C602" s="9" t="s">
        <v>17</v>
      </c>
      <c r="D602" s="9" t="s">
        <v>18</v>
      </c>
      <c r="E602" s="9" t="s">
        <v>19</v>
      </c>
      <c r="F602" s="10" t="s">
        <v>20</v>
      </c>
      <c r="G602" s="7" t="s">
        <v>21</v>
      </c>
      <c r="H602" s="7" t="s">
        <v>22</v>
      </c>
      <c r="I602" s="7" t="s">
        <v>23</v>
      </c>
      <c r="J602" s="247" t="s">
        <v>132</v>
      </c>
      <c r="K602" s="247" t="s">
        <v>133</v>
      </c>
      <c r="L602" s="247" t="s">
        <v>134</v>
      </c>
      <c r="M602" s="247" t="s">
        <v>135</v>
      </c>
      <c r="N602" s="247" t="s">
        <v>136</v>
      </c>
      <c r="O602" s="247" t="s">
        <v>137</v>
      </c>
      <c r="P602" s="155" t="s">
        <v>138</v>
      </c>
      <c r="Q602" s="155" t="s">
        <v>139</v>
      </c>
      <c r="R602" s="247" t="s">
        <v>140</v>
      </c>
      <c r="S602" s="247" t="s">
        <v>141</v>
      </c>
      <c r="T602" s="247" t="s">
        <v>142</v>
      </c>
      <c r="U602" s="247" t="s">
        <v>143</v>
      </c>
      <c r="V602" s="247" t="s">
        <v>144</v>
      </c>
      <c r="W602" s="155" t="s">
        <v>145</v>
      </c>
      <c r="X602" s="155" t="s">
        <v>146</v>
      </c>
      <c r="Y602" s="247" t="s">
        <v>147</v>
      </c>
      <c r="Z602" s="247" t="s">
        <v>148</v>
      </c>
      <c r="AA602" s="247" t="s">
        <v>149</v>
      </c>
      <c r="AB602" s="247" t="s">
        <v>150</v>
      </c>
      <c r="AC602" s="247" t="s">
        <v>151</v>
      </c>
      <c r="AD602" s="155" t="s">
        <v>152</v>
      </c>
      <c r="AE602" s="247" t="s">
        <v>153</v>
      </c>
      <c r="AF602" s="247" t="s">
        <v>154</v>
      </c>
      <c r="AG602" s="247" t="s">
        <v>155</v>
      </c>
      <c r="AH602" s="248" t="s">
        <v>156</v>
      </c>
      <c r="AI602" s="247" t="s">
        <v>157</v>
      </c>
      <c r="AJ602" s="247" t="s">
        <v>158</v>
      </c>
      <c r="AK602" s="155" t="s">
        <v>159</v>
      </c>
      <c r="AL602" s="155" t="s">
        <v>160</v>
      </c>
      <c r="AM602" s="247" t="s">
        <v>161</v>
      </c>
      <c r="AN602" s="249" t="s">
        <v>162</v>
      </c>
      <c r="AO602" s="11" t="s">
        <v>24</v>
      </c>
      <c r="AP602" s="11" t="s">
        <v>25</v>
      </c>
      <c r="AQ602" s="11" t="s">
        <v>26</v>
      </c>
    </row>
    <row r="603" spans="1:43" x14ac:dyDescent="0.25">
      <c r="F603" s="32"/>
      <c r="G603" s="1"/>
      <c r="H603" s="15">
        <v>2026</v>
      </c>
      <c r="I603" s="15" t="s">
        <v>163</v>
      </c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  <c r="AH603" s="193"/>
      <c r="AI603" s="193"/>
      <c r="AJ603" s="193"/>
      <c r="AK603" s="193"/>
      <c r="AL603" s="193"/>
      <c r="AM603" s="193"/>
      <c r="AN603" s="192"/>
      <c r="AO603" s="16">
        <f>COUNTIF(Tabla1323444922[[#This Row],[1L]:[Columna1]],"D12")</f>
        <v>0</v>
      </c>
      <c r="AP603" s="17">
        <f>COUNTIF(Tabla1323444922[[#This Row],[1L]:[Columna1]],"N12")</f>
        <v>0</v>
      </c>
      <c r="AQ603" s="18">
        <f>COUNTBLANK(Tabla1323444922[[#This Row],[1L]:[Columna1]])</f>
        <v>31</v>
      </c>
    </row>
    <row r="604" spans="1:43" x14ac:dyDescent="0.25">
      <c r="F604" s="32"/>
      <c r="G604" s="1"/>
      <c r="H604" s="15">
        <v>2026</v>
      </c>
      <c r="I604" s="15" t="s">
        <v>163</v>
      </c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  <c r="AH604" s="193"/>
      <c r="AI604" s="193"/>
      <c r="AJ604" s="193"/>
      <c r="AK604" s="193"/>
      <c r="AL604" s="193"/>
      <c r="AM604" s="193"/>
      <c r="AN604" s="192"/>
      <c r="AO604" s="17">
        <f>COUNTIF(Tabla1323444922[[#This Row],[1L]:[Columna1]],"D12")</f>
        <v>0</v>
      </c>
      <c r="AP604" s="17">
        <f>COUNTIF(Tabla1323444922[[#This Row],[1L]:[Columna1]],"N12")</f>
        <v>0</v>
      </c>
      <c r="AQ604" s="18">
        <f>COUNTBLANK(Tabla1323444922[[#This Row],[1L]:[Columna1]])</f>
        <v>31</v>
      </c>
    </row>
    <row r="605" spans="1:43" x14ac:dyDescent="0.25">
      <c r="F605" s="32"/>
      <c r="G605" s="1"/>
      <c r="H605" s="15">
        <v>2026</v>
      </c>
      <c r="I605" s="15" t="s">
        <v>163</v>
      </c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  <c r="AH605" s="193"/>
      <c r="AI605" s="193"/>
      <c r="AJ605" s="193"/>
      <c r="AK605" s="193"/>
      <c r="AL605" s="193"/>
      <c r="AM605" s="193"/>
      <c r="AN605" s="192"/>
      <c r="AO605" s="17">
        <f>COUNTIF(Tabla1323444922[[#This Row],[1L]:[Columna1]],"D12")</f>
        <v>0</v>
      </c>
      <c r="AP605" s="17">
        <f>COUNTIF(Tabla1323444922[[#This Row],[1L]:[Columna1]],"N12")</f>
        <v>0</v>
      </c>
      <c r="AQ605" s="27">
        <f>COUNTBLANK(Tabla1323444922[[#This Row],[1L]:[Columna1]])</f>
        <v>31</v>
      </c>
    </row>
    <row r="606" spans="1:43" ht="18.75" x14ac:dyDescent="0.25">
      <c r="F606" s="32"/>
      <c r="G606" s="1"/>
      <c r="H606" s="15">
        <v>2026</v>
      </c>
      <c r="I606" s="15" t="s">
        <v>163</v>
      </c>
      <c r="J606" s="150">
        <f t="shared" ref="J606:AN606" si="34">COUNTIF(J603:J605,"D12")</f>
        <v>0</v>
      </c>
      <c r="K606" s="150">
        <f t="shared" si="34"/>
        <v>0</v>
      </c>
      <c r="L606" s="150">
        <f t="shared" si="34"/>
        <v>0</v>
      </c>
      <c r="M606" s="150">
        <f t="shared" si="34"/>
        <v>0</v>
      </c>
      <c r="N606" s="150">
        <f t="shared" si="34"/>
        <v>0</v>
      </c>
      <c r="O606" s="150">
        <f t="shared" si="34"/>
        <v>0</v>
      </c>
      <c r="P606" s="150">
        <f t="shared" si="34"/>
        <v>0</v>
      </c>
      <c r="Q606" s="150">
        <f t="shared" si="34"/>
        <v>0</v>
      </c>
      <c r="R606" s="150">
        <f t="shared" si="34"/>
        <v>0</v>
      </c>
      <c r="S606" s="150">
        <f t="shared" si="34"/>
        <v>0</v>
      </c>
      <c r="T606" s="150">
        <f t="shared" si="34"/>
        <v>0</v>
      </c>
      <c r="U606" s="150">
        <f t="shared" si="34"/>
        <v>0</v>
      </c>
      <c r="V606" s="150">
        <f t="shared" si="34"/>
        <v>0</v>
      </c>
      <c r="W606" s="150">
        <f t="shared" si="34"/>
        <v>0</v>
      </c>
      <c r="X606" s="150">
        <f t="shared" si="34"/>
        <v>0</v>
      </c>
      <c r="Y606" s="150">
        <f t="shared" si="34"/>
        <v>0</v>
      </c>
      <c r="Z606" s="150">
        <f t="shared" si="34"/>
        <v>0</v>
      </c>
      <c r="AA606" s="150">
        <f t="shared" si="34"/>
        <v>0</v>
      </c>
      <c r="AB606" s="150">
        <f t="shared" si="34"/>
        <v>0</v>
      </c>
      <c r="AC606" s="150">
        <f t="shared" si="34"/>
        <v>0</v>
      </c>
      <c r="AD606" s="150">
        <f t="shared" si="34"/>
        <v>0</v>
      </c>
      <c r="AE606" s="150">
        <f t="shared" si="34"/>
        <v>0</v>
      </c>
      <c r="AF606" s="150">
        <f t="shared" si="34"/>
        <v>0</v>
      </c>
      <c r="AG606" s="150">
        <f t="shared" si="34"/>
        <v>0</v>
      </c>
      <c r="AH606" s="150">
        <f t="shared" si="34"/>
        <v>0</v>
      </c>
      <c r="AI606" s="150">
        <f t="shared" si="34"/>
        <v>0</v>
      </c>
      <c r="AJ606" s="150">
        <f t="shared" si="34"/>
        <v>0</v>
      </c>
      <c r="AK606" s="150">
        <f t="shared" si="34"/>
        <v>0</v>
      </c>
      <c r="AL606" s="150">
        <f t="shared" si="34"/>
        <v>0</v>
      </c>
      <c r="AM606" s="150">
        <f t="shared" si="34"/>
        <v>0</v>
      </c>
      <c r="AN606" s="150">
        <f t="shared" si="34"/>
        <v>0</v>
      </c>
      <c r="AO606" s="33"/>
      <c r="AP606" s="33"/>
      <c r="AQ606" s="34"/>
    </row>
    <row r="607" spans="1:43" ht="18.75" x14ac:dyDescent="0.25">
      <c r="F607" s="35"/>
      <c r="G607" s="36"/>
      <c r="H607" s="15">
        <v>2026</v>
      </c>
      <c r="I607" s="15" t="s">
        <v>163</v>
      </c>
      <c r="J607" s="151">
        <f t="shared" ref="J607:AN607" si="35">COUNTIF(J603:J605,"N12")</f>
        <v>0</v>
      </c>
      <c r="K607" s="151">
        <f t="shared" si="35"/>
        <v>0</v>
      </c>
      <c r="L607" s="151">
        <f t="shared" si="35"/>
        <v>0</v>
      </c>
      <c r="M607" s="151">
        <f t="shared" si="35"/>
        <v>0</v>
      </c>
      <c r="N607" s="151">
        <f t="shared" si="35"/>
        <v>0</v>
      </c>
      <c r="O607" s="151">
        <f t="shared" si="35"/>
        <v>0</v>
      </c>
      <c r="P607" s="151">
        <f t="shared" si="35"/>
        <v>0</v>
      </c>
      <c r="Q607" s="151">
        <f t="shared" si="35"/>
        <v>0</v>
      </c>
      <c r="R607" s="151">
        <f t="shared" si="35"/>
        <v>0</v>
      </c>
      <c r="S607" s="151">
        <f t="shared" si="35"/>
        <v>0</v>
      </c>
      <c r="T607" s="151">
        <f t="shared" si="35"/>
        <v>0</v>
      </c>
      <c r="U607" s="151">
        <f t="shared" si="35"/>
        <v>0</v>
      </c>
      <c r="V607" s="151">
        <f t="shared" si="35"/>
        <v>0</v>
      </c>
      <c r="W607" s="151">
        <f t="shared" si="35"/>
        <v>0</v>
      </c>
      <c r="X607" s="151">
        <f t="shared" si="35"/>
        <v>0</v>
      </c>
      <c r="Y607" s="151">
        <f t="shared" si="35"/>
        <v>0</v>
      </c>
      <c r="Z607" s="151">
        <f t="shared" si="35"/>
        <v>0</v>
      </c>
      <c r="AA607" s="151">
        <f t="shared" si="35"/>
        <v>0</v>
      </c>
      <c r="AB607" s="151">
        <f t="shared" si="35"/>
        <v>0</v>
      </c>
      <c r="AC607" s="151">
        <f t="shared" si="35"/>
        <v>0</v>
      </c>
      <c r="AD607" s="151">
        <f t="shared" si="35"/>
        <v>0</v>
      </c>
      <c r="AE607" s="151">
        <f t="shared" si="35"/>
        <v>0</v>
      </c>
      <c r="AF607" s="151">
        <f t="shared" si="35"/>
        <v>0</v>
      </c>
      <c r="AG607" s="151">
        <f t="shared" si="35"/>
        <v>0</v>
      </c>
      <c r="AH607" s="151">
        <f t="shared" si="35"/>
        <v>0</v>
      </c>
      <c r="AI607" s="151">
        <f t="shared" si="35"/>
        <v>0</v>
      </c>
      <c r="AJ607" s="151">
        <f t="shared" si="35"/>
        <v>0</v>
      </c>
      <c r="AK607" s="151">
        <f t="shared" si="35"/>
        <v>0</v>
      </c>
      <c r="AL607" s="151">
        <f t="shared" si="35"/>
        <v>0</v>
      </c>
      <c r="AM607" s="151">
        <f t="shared" si="35"/>
        <v>0</v>
      </c>
      <c r="AN607" s="151">
        <f t="shared" si="35"/>
        <v>0</v>
      </c>
      <c r="AO607" s="38"/>
      <c r="AP607" s="38"/>
      <c r="AQ607" s="34"/>
    </row>
    <row r="609" spans="8:27" x14ac:dyDescent="0.25">
      <c r="H609" s="301" t="s">
        <v>36</v>
      </c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3"/>
    </row>
    <row r="610" spans="8:27" x14ac:dyDescent="0.25">
      <c r="H610" s="304" t="s">
        <v>37</v>
      </c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6"/>
    </row>
    <row r="611" spans="8:27" x14ac:dyDescent="0.25">
      <c r="H611" s="304" t="s">
        <v>38</v>
      </c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6"/>
    </row>
    <row r="613" spans="8:27" x14ac:dyDescent="0.25">
      <c r="H613" s="55"/>
      <c r="I613" s="279" t="s">
        <v>39</v>
      </c>
      <c r="J613" s="280"/>
      <c r="K613" s="280"/>
      <c r="L613" s="281"/>
      <c r="M613" s="56"/>
      <c r="N613" s="279" t="s">
        <v>40</v>
      </c>
      <c r="O613" s="280"/>
      <c r="P613" s="280"/>
      <c r="Q613" s="280"/>
      <c r="R613" s="281"/>
    </row>
    <row r="614" spans="8:27" x14ac:dyDescent="0.25">
      <c r="H614" s="46" t="s">
        <v>32</v>
      </c>
      <c r="I614" s="279" t="s">
        <v>41</v>
      </c>
      <c r="J614" s="280"/>
      <c r="K614" s="280"/>
      <c r="L614" s="281"/>
      <c r="M614" s="47" t="s">
        <v>42</v>
      </c>
      <c r="N614" s="279" t="s">
        <v>43</v>
      </c>
      <c r="O614" s="280"/>
      <c r="P614" s="280"/>
      <c r="Q614" s="280"/>
      <c r="R614" s="281"/>
    </row>
    <row r="615" spans="8:27" x14ac:dyDescent="0.25">
      <c r="H615" s="48" t="s">
        <v>44</v>
      </c>
      <c r="I615" s="279" t="s">
        <v>45</v>
      </c>
      <c r="J615" s="280"/>
      <c r="K615" s="280"/>
      <c r="L615" s="281"/>
      <c r="M615" s="49" t="s">
        <v>46</v>
      </c>
      <c r="N615" s="279" t="s">
        <v>47</v>
      </c>
      <c r="O615" s="280"/>
      <c r="P615" s="280"/>
      <c r="Q615" s="280"/>
      <c r="R615" s="281"/>
    </row>
    <row r="616" spans="8:27" x14ac:dyDescent="0.25">
      <c r="H616" s="1" t="s">
        <v>48</v>
      </c>
      <c r="I616" s="299" t="s">
        <v>49</v>
      </c>
      <c r="J616" s="299"/>
      <c r="K616" s="299"/>
      <c r="L616" s="299"/>
      <c r="M616" s="39" t="s">
        <v>50</v>
      </c>
      <c r="N616" s="299" t="s">
        <v>51</v>
      </c>
      <c r="O616" s="299"/>
      <c r="P616" s="299"/>
      <c r="Q616" s="299"/>
      <c r="R616" s="299"/>
    </row>
    <row r="617" spans="8:27" x14ac:dyDescent="0.25">
      <c r="H617" s="1" t="s">
        <v>29</v>
      </c>
      <c r="I617" s="299" t="s">
        <v>52</v>
      </c>
      <c r="J617" s="299"/>
      <c r="K617" s="299"/>
      <c r="L617" s="299"/>
      <c r="M617" s="1" t="s">
        <v>53</v>
      </c>
      <c r="N617" s="299" t="s">
        <v>54</v>
      </c>
      <c r="O617" s="299"/>
      <c r="P617" s="299"/>
      <c r="Q617" s="299"/>
      <c r="R617" s="299"/>
    </row>
    <row r="618" spans="8:27" x14ac:dyDescent="0.25">
      <c r="H618" s="1" t="s">
        <v>28</v>
      </c>
      <c r="I618" s="299" t="s">
        <v>55</v>
      </c>
      <c r="J618" s="299"/>
      <c r="K618" s="299"/>
      <c r="L618" s="299"/>
      <c r="M618" s="1" t="s">
        <v>31</v>
      </c>
      <c r="N618" s="299" t="s">
        <v>56</v>
      </c>
      <c r="O618" s="299"/>
      <c r="P618" s="299"/>
      <c r="Q618" s="299"/>
      <c r="R618" s="299"/>
    </row>
  </sheetData>
  <mergeCells count="671">
    <mergeCell ref="I327:L327"/>
    <mergeCell ref="I616:L616"/>
    <mergeCell ref="N616:R616"/>
    <mergeCell ref="I617:L617"/>
    <mergeCell ref="N617:R617"/>
    <mergeCell ref="I618:L618"/>
    <mergeCell ref="N618:R618"/>
    <mergeCell ref="H609:AA609"/>
    <mergeCell ref="H610:AA610"/>
    <mergeCell ref="H611:AA611"/>
    <mergeCell ref="I613:L613"/>
    <mergeCell ref="N613:R613"/>
    <mergeCell ref="I614:L614"/>
    <mergeCell ref="N614:R614"/>
    <mergeCell ref="I615:L615"/>
    <mergeCell ref="N615:R615"/>
    <mergeCell ref="I579:L579"/>
    <mergeCell ref="N579:R579"/>
    <mergeCell ref="I580:L580"/>
    <mergeCell ref="N580:R580"/>
    <mergeCell ref="I581:L581"/>
    <mergeCell ref="N581:R581"/>
    <mergeCell ref="H572:AA572"/>
    <mergeCell ref="H573:AA573"/>
    <mergeCell ref="F596:G601"/>
    <mergeCell ref="H596:AH597"/>
    <mergeCell ref="AI596:AN597"/>
    <mergeCell ref="H598:J598"/>
    <mergeCell ref="K598:AH598"/>
    <mergeCell ref="AI598:AN599"/>
    <mergeCell ref="K599:AH599"/>
    <mergeCell ref="H600:J600"/>
    <mergeCell ref="K600:AH600"/>
    <mergeCell ref="AI600:AN601"/>
    <mergeCell ref="H601:J601"/>
    <mergeCell ref="K601:AH601"/>
    <mergeCell ref="H574:AA574"/>
    <mergeCell ref="I576:L576"/>
    <mergeCell ref="N576:R576"/>
    <mergeCell ref="I577:L577"/>
    <mergeCell ref="N577:R577"/>
    <mergeCell ref="I578:L578"/>
    <mergeCell ref="N578:R578"/>
    <mergeCell ref="I542:L542"/>
    <mergeCell ref="N542:R542"/>
    <mergeCell ref="I543:L543"/>
    <mergeCell ref="N543:R543"/>
    <mergeCell ref="I544:L544"/>
    <mergeCell ref="N544:R544"/>
    <mergeCell ref="F559:G564"/>
    <mergeCell ref="H559:AH560"/>
    <mergeCell ref="AI559:AN560"/>
    <mergeCell ref="H561:J561"/>
    <mergeCell ref="K561:AH561"/>
    <mergeCell ref="AI561:AN562"/>
    <mergeCell ref="K562:AH562"/>
    <mergeCell ref="H563:J563"/>
    <mergeCell ref="K563:AH563"/>
    <mergeCell ref="AI563:AN564"/>
    <mergeCell ref="H564:J564"/>
    <mergeCell ref="K564:AH564"/>
    <mergeCell ref="H535:AA535"/>
    <mergeCell ref="H536:AA536"/>
    <mergeCell ref="H537:AA537"/>
    <mergeCell ref="I539:L539"/>
    <mergeCell ref="N539:R539"/>
    <mergeCell ref="I540:L540"/>
    <mergeCell ref="N540:R540"/>
    <mergeCell ref="I541:L541"/>
    <mergeCell ref="N541:R541"/>
    <mergeCell ref="I507:L507"/>
    <mergeCell ref="N507:R507"/>
    <mergeCell ref="F522:G527"/>
    <mergeCell ref="H522:AH523"/>
    <mergeCell ref="AI522:AN523"/>
    <mergeCell ref="H524:J524"/>
    <mergeCell ref="K524:AH524"/>
    <mergeCell ref="AI524:AN525"/>
    <mergeCell ref="K525:AH525"/>
    <mergeCell ref="H526:J526"/>
    <mergeCell ref="K526:AH526"/>
    <mergeCell ref="AI526:AN527"/>
    <mergeCell ref="H527:J527"/>
    <mergeCell ref="K527:AH527"/>
    <mergeCell ref="I502:L502"/>
    <mergeCell ref="N502:R502"/>
    <mergeCell ref="I503:L503"/>
    <mergeCell ref="N503:R503"/>
    <mergeCell ref="I504:L504"/>
    <mergeCell ref="N504:R504"/>
    <mergeCell ref="I505:L505"/>
    <mergeCell ref="N505:R505"/>
    <mergeCell ref="I506:L506"/>
    <mergeCell ref="N506:R506"/>
    <mergeCell ref="F485:G490"/>
    <mergeCell ref="H485:AH486"/>
    <mergeCell ref="AI485:AN486"/>
    <mergeCell ref="H487:J487"/>
    <mergeCell ref="K487:AH487"/>
    <mergeCell ref="AI487:AN488"/>
    <mergeCell ref="K488:AH488"/>
    <mergeCell ref="H489:J489"/>
    <mergeCell ref="K489:AH489"/>
    <mergeCell ref="AI489:AN490"/>
    <mergeCell ref="H490:J490"/>
    <mergeCell ref="K490:AH490"/>
    <mergeCell ref="H498:AA498"/>
    <mergeCell ref="H499:AA499"/>
    <mergeCell ref="H500:AA500"/>
    <mergeCell ref="I470:L470"/>
    <mergeCell ref="N470:R470"/>
    <mergeCell ref="I466:L466"/>
    <mergeCell ref="N466:R466"/>
    <mergeCell ref="I467:L467"/>
    <mergeCell ref="N467:R467"/>
    <mergeCell ref="I468:L468"/>
    <mergeCell ref="N468:R468"/>
    <mergeCell ref="I469:L469"/>
    <mergeCell ref="N469:R469"/>
    <mergeCell ref="H429:AA429"/>
    <mergeCell ref="I431:L431"/>
    <mergeCell ref="N431:R431"/>
    <mergeCell ref="I432:L432"/>
    <mergeCell ref="N432:R432"/>
    <mergeCell ref="I433:L433"/>
    <mergeCell ref="N433:R433"/>
    <mergeCell ref="K418:AH418"/>
    <mergeCell ref="I399:L399"/>
    <mergeCell ref="N399:R399"/>
    <mergeCell ref="I400:L400"/>
    <mergeCell ref="N400:R400"/>
    <mergeCell ref="I401:L401"/>
    <mergeCell ref="N401:R401"/>
    <mergeCell ref="I465:L465"/>
    <mergeCell ref="N465:R465"/>
    <mergeCell ref="I434:L434"/>
    <mergeCell ref="N434:R434"/>
    <mergeCell ref="I435:L435"/>
    <mergeCell ref="N435:R435"/>
    <mergeCell ref="I436:L436"/>
    <mergeCell ref="F448:G453"/>
    <mergeCell ref="H448:AH449"/>
    <mergeCell ref="H461:AA461"/>
    <mergeCell ref="H462:AA462"/>
    <mergeCell ref="H463:AA463"/>
    <mergeCell ref="AI448:AN449"/>
    <mergeCell ref="H450:J450"/>
    <mergeCell ref="K450:AH450"/>
    <mergeCell ref="AI450:AN451"/>
    <mergeCell ref="K451:AH451"/>
    <mergeCell ref="H452:J452"/>
    <mergeCell ref="K452:AH452"/>
    <mergeCell ref="AI452:AN453"/>
    <mergeCell ref="N436:R436"/>
    <mergeCell ref="H453:J453"/>
    <mergeCell ref="K453:AH453"/>
    <mergeCell ref="AI418:AN419"/>
    <mergeCell ref="H419:J419"/>
    <mergeCell ref="K419:AH419"/>
    <mergeCell ref="H427:AA427"/>
    <mergeCell ref="H428:AA428"/>
    <mergeCell ref="I402:L402"/>
    <mergeCell ref="N402:R402"/>
    <mergeCell ref="F414:G419"/>
    <mergeCell ref="H414:AH415"/>
    <mergeCell ref="AI414:AN415"/>
    <mergeCell ref="H416:J416"/>
    <mergeCell ref="K416:AH416"/>
    <mergeCell ref="AI416:AN417"/>
    <mergeCell ref="K417:AH417"/>
    <mergeCell ref="H418:J418"/>
    <mergeCell ref="H394:AA394"/>
    <mergeCell ref="H395:AA395"/>
    <mergeCell ref="I397:L397"/>
    <mergeCell ref="N397:R397"/>
    <mergeCell ref="I398:L398"/>
    <mergeCell ref="N398:R398"/>
    <mergeCell ref="AI375:AN376"/>
    <mergeCell ref="H377:J377"/>
    <mergeCell ref="K377:AH377"/>
    <mergeCell ref="AI377:AN378"/>
    <mergeCell ref="K378:AH378"/>
    <mergeCell ref="H379:J379"/>
    <mergeCell ref="K379:AH379"/>
    <mergeCell ref="AI379:AN380"/>
    <mergeCell ref="H380:J380"/>
    <mergeCell ref="K380:AH380"/>
    <mergeCell ref="H393:AA393"/>
    <mergeCell ref="I326:L326"/>
    <mergeCell ref="N326:R326"/>
    <mergeCell ref="F375:G380"/>
    <mergeCell ref="H375:AH376"/>
    <mergeCell ref="I322:L322"/>
    <mergeCell ref="N322:R322"/>
    <mergeCell ref="I323:L323"/>
    <mergeCell ref="N323:R323"/>
    <mergeCell ref="I324:L324"/>
    <mergeCell ref="N324:R324"/>
    <mergeCell ref="S326:T326"/>
    <mergeCell ref="U326:W326"/>
    <mergeCell ref="F332:G334"/>
    <mergeCell ref="H332:AH333"/>
    <mergeCell ref="I364:L364"/>
    <mergeCell ref="N364:R364"/>
    <mergeCell ref="S364:T364"/>
    <mergeCell ref="I365:L365"/>
    <mergeCell ref="N365:R365"/>
    <mergeCell ref="S365:T365"/>
    <mergeCell ref="I366:L366"/>
    <mergeCell ref="N366:R366"/>
    <mergeCell ref="S366:T366"/>
    <mergeCell ref="U366:W366"/>
    <mergeCell ref="I321:L321"/>
    <mergeCell ref="N321:R321"/>
    <mergeCell ref="H298:AH301"/>
    <mergeCell ref="I325:L325"/>
    <mergeCell ref="N325:R325"/>
    <mergeCell ref="S321:T321"/>
    <mergeCell ref="U321:W321"/>
    <mergeCell ref="S322:T322"/>
    <mergeCell ref="U322:W322"/>
    <mergeCell ref="S323:T323"/>
    <mergeCell ref="U323:W323"/>
    <mergeCell ref="S324:T324"/>
    <mergeCell ref="U324:W324"/>
    <mergeCell ref="S325:T325"/>
    <mergeCell ref="U325:W325"/>
    <mergeCell ref="I285:L285"/>
    <mergeCell ref="N285:R285"/>
    <mergeCell ref="S285:T285"/>
    <mergeCell ref="U285:W285"/>
    <mergeCell ref="I283:L283"/>
    <mergeCell ref="N283:R283"/>
    <mergeCell ref="S283:T283"/>
    <mergeCell ref="U283:W283"/>
    <mergeCell ref="I284:L284"/>
    <mergeCell ref="N284:R284"/>
    <mergeCell ref="S284:T284"/>
    <mergeCell ref="U284:W284"/>
    <mergeCell ref="I281:L281"/>
    <mergeCell ref="N281:R281"/>
    <mergeCell ref="S281:T281"/>
    <mergeCell ref="U281:W281"/>
    <mergeCell ref="I282:L282"/>
    <mergeCell ref="N282:R282"/>
    <mergeCell ref="S282:T282"/>
    <mergeCell ref="U282:W282"/>
    <mergeCell ref="H276:AA276"/>
    <mergeCell ref="H277:AA277"/>
    <mergeCell ref="H278:AA278"/>
    <mergeCell ref="I280:L280"/>
    <mergeCell ref="N280:R280"/>
    <mergeCell ref="S280:T280"/>
    <mergeCell ref="U280:W280"/>
    <mergeCell ref="AR269:AS269"/>
    <mergeCell ref="AT269:AV269"/>
    <mergeCell ref="AR270:AS270"/>
    <mergeCell ref="AT270:AV270"/>
    <mergeCell ref="AR272:AS272"/>
    <mergeCell ref="AT272:AV272"/>
    <mergeCell ref="AI259:AN260"/>
    <mergeCell ref="H260:J260"/>
    <mergeCell ref="K260:AH260"/>
    <mergeCell ref="AR260:AS260"/>
    <mergeCell ref="AT260:AV260"/>
    <mergeCell ref="AR262:AS262"/>
    <mergeCell ref="AT262:AV262"/>
    <mergeCell ref="F255:G257"/>
    <mergeCell ref="H255:AH256"/>
    <mergeCell ref="AI255:AN256"/>
    <mergeCell ref="H257:J257"/>
    <mergeCell ref="K257:AH257"/>
    <mergeCell ref="AI257:AN258"/>
    <mergeCell ref="F258:G260"/>
    <mergeCell ref="K258:AH258"/>
    <mergeCell ref="H259:J259"/>
    <mergeCell ref="K259:AH259"/>
    <mergeCell ref="I250:L250"/>
    <mergeCell ref="N250:R250"/>
    <mergeCell ref="S250:T250"/>
    <mergeCell ref="U250:W250"/>
    <mergeCell ref="I248:L248"/>
    <mergeCell ref="N248:R248"/>
    <mergeCell ref="S248:T248"/>
    <mergeCell ref="U248:W248"/>
    <mergeCell ref="I249:L249"/>
    <mergeCell ref="N249:R249"/>
    <mergeCell ref="S249:T249"/>
    <mergeCell ref="U249:W249"/>
    <mergeCell ref="I246:L246"/>
    <mergeCell ref="N246:R246"/>
    <mergeCell ref="S246:T246"/>
    <mergeCell ref="U246:W246"/>
    <mergeCell ref="I247:L247"/>
    <mergeCell ref="N247:R247"/>
    <mergeCell ref="S247:T247"/>
    <mergeCell ref="U247:W247"/>
    <mergeCell ref="H241:AA241"/>
    <mergeCell ref="H242:AA242"/>
    <mergeCell ref="H243:AA243"/>
    <mergeCell ref="I245:L245"/>
    <mergeCell ref="N245:R245"/>
    <mergeCell ref="S245:T245"/>
    <mergeCell ref="U245:W245"/>
    <mergeCell ref="AR236:AS236"/>
    <mergeCell ref="AT236:AV236"/>
    <mergeCell ref="K230:AH230"/>
    <mergeCell ref="AR230:AS230"/>
    <mergeCell ref="AT230:AV230"/>
    <mergeCell ref="AR231:AS231"/>
    <mergeCell ref="AT231:AV231"/>
    <mergeCell ref="AR232:AS232"/>
    <mergeCell ref="AT232:AV232"/>
    <mergeCell ref="AI225:AN226"/>
    <mergeCell ref="H227:J227"/>
    <mergeCell ref="K227:AH227"/>
    <mergeCell ref="AI227:AN228"/>
    <mergeCell ref="F228:G230"/>
    <mergeCell ref="K228:AH228"/>
    <mergeCell ref="H229:J229"/>
    <mergeCell ref="K229:AH229"/>
    <mergeCell ref="AI229:AN230"/>
    <mergeCell ref="H230:J230"/>
    <mergeCell ref="I221:L221"/>
    <mergeCell ref="N221:R221"/>
    <mergeCell ref="S221:T221"/>
    <mergeCell ref="U221:W221"/>
    <mergeCell ref="F225:G227"/>
    <mergeCell ref="H225:AH226"/>
    <mergeCell ref="I219:L219"/>
    <mergeCell ref="N219:R219"/>
    <mergeCell ref="S219:T219"/>
    <mergeCell ref="I220:L220"/>
    <mergeCell ref="N220:R220"/>
    <mergeCell ref="S220:T220"/>
    <mergeCell ref="I217:L217"/>
    <mergeCell ref="N217:R217"/>
    <mergeCell ref="S217:T217"/>
    <mergeCell ref="U217:W217"/>
    <mergeCell ref="I218:L218"/>
    <mergeCell ref="N218:R218"/>
    <mergeCell ref="S218:T218"/>
    <mergeCell ref="U218:W218"/>
    <mergeCell ref="H212:AA212"/>
    <mergeCell ref="H213:AA213"/>
    <mergeCell ref="H214:AA214"/>
    <mergeCell ref="I216:L216"/>
    <mergeCell ref="N216:R216"/>
    <mergeCell ref="S216:T216"/>
    <mergeCell ref="U216:W216"/>
    <mergeCell ref="AR198:AS198"/>
    <mergeCell ref="AT198:AV198"/>
    <mergeCell ref="AI195:AN196"/>
    <mergeCell ref="H196:J196"/>
    <mergeCell ref="K196:AH196"/>
    <mergeCell ref="AR196:AS196"/>
    <mergeCell ref="AT196:AV196"/>
    <mergeCell ref="AR197:AS197"/>
    <mergeCell ref="AT197:AV197"/>
    <mergeCell ref="F191:G193"/>
    <mergeCell ref="H191:AH192"/>
    <mergeCell ref="AI191:AN192"/>
    <mergeCell ref="H193:J193"/>
    <mergeCell ref="K193:AH193"/>
    <mergeCell ref="AI193:AN194"/>
    <mergeCell ref="F194:G196"/>
    <mergeCell ref="K194:AH194"/>
    <mergeCell ref="H195:J195"/>
    <mergeCell ref="K195:AH195"/>
    <mergeCell ref="I181:L181"/>
    <mergeCell ref="N181:R181"/>
    <mergeCell ref="S181:T181"/>
    <mergeCell ref="U181:W181"/>
    <mergeCell ref="I184:L184"/>
    <mergeCell ref="N184:R184"/>
    <mergeCell ref="S184:T184"/>
    <mergeCell ref="U184:W184"/>
    <mergeCell ref="I185:L185"/>
    <mergeCell ref="N185:R185"/>
    <mergeCell ref="S185:T185"/>
    <mergeCell ref="U185:W185"/>
    <mergeCell ref="I182:L182"/>
    <mergeCell ref="N182:R182"/>
    <mergeCell ref="S182:T182"/>
    <mergeCell ref="U182:W182"/>
    <mergeCell ref="I183:L183"/>
    <mergeCell ref="N183:R183"/>
    <mergeCell ref="S183:T183"/>
    <mergeCell ref="U183:W183"/>
    <mergeCell ref="H177:AA177"/>
    <mergeCell ref="AR165:AS165"/>
    <mergeCell ref="AT165:AV165"/>
    <mergeCell ref="H178:AA178"/>
    <mergeCell ref="I180:L180"/>
    <mergeCell ref="N180:R180"/>
    <mergeCell ref="S180:T180"/>
    <mergeCell ref="U180:W180"/>
    <mergeCell ref="AR164:AS164"/>
    <mergeCell ref="AT164:AV164"/>
    <mergeCell ref="F159:G161"/>
    <mergeCell ref="H159:AH160"/>
    <mergeCell ref="AR168:AS168"/>
    <mergeCell ref="AT168:AV168"/>
    <mergeCell ref="AR169:AS169"/>
    <mergeCell ref="AT169:AV169"/>
    <mergeCell ref="H176:AA176"/>
    <mergeCell ref="U151:W151"/>
    <mergeCell ref="I152:L152"/>
    <mergeCell ref="N152:R152"/>
    <mergeCell ref="S152:T152"/>
    <mergeCell ref="U152:W152"/>
    <mergeCell ref="AI159:AN160"/>
    <mergeCell ref="AI161:AN162"/>
    <mergeCell ref="F162:G164"/>
    <mergeCell ref="AI163:AN164"/>
    <mergeCell ref="AT133:AV133"/>
    <mergeCell ref="AR134:AS134"/>
    <mergeCell ref="AT134:AV134"/>
    <mergeCell ref="I149:L149"/>
    <mergeCell ref="N149:R149"/>
    <mergeCell ref="S149:T149"/>
    <mergeCell ref="U149:W149"/>
    <mergeCell ref="H145:AA145"/>
    <mergeCell ref="I147:L147"/>
    <mergeCell ref="N147:R147"/>
    <mergeCell ref="S147:T147"/>
    <mergeCell ref="U147:W147"/>
    <mergeCell ref="I148:L148"/>
    <mergeCell ref="N148:R148"/>
    <mergeCell ref="S148:T148"/>
    <mergeCell ref="U148:W148"/>
    <mergeCell ref="AT135:AV135"/>
    <mergeCell ref="AR139:AS139"/>
    <mergeCell ref="AT139:AV139"/>
    <mergeCell ref="AR135:AS135"/>
    <mergeCell ref="H144:AA144"/>
    <mergeCell ref="AR133:AS133"/>
    <mergeCell ref="AT106:AV106"/>
    <mergeCell ref="H113:AA113"/>
    <mergeCell ref="H114:AA114"/>
    <mergeCell ref="H115:AA115"/>
    <mergeCell ref="I117:L117"/>
    <mergeCell ref="N117:R117"/>
    <mergeCell ref="S117:T117"/>
    <mergeCell ref="U117:W117"/>
    <mergeCell ref="I120:L120"/>
    <mergeCell ref="N120:R120"/>
    <mergeCell ref="I118:L118"/>
    <mergeCell ref="N118:R118"/>
    <mergeCell ref="S118:T118"/>
    <mergeCell ref="I119:L119"/>
    <mergeCell ref="N119:R119"/>
    <mergeCell ref="S119:T119"/>
    <mergeCell ref="AR106:AS106"/>
    <mergeCell ref="F98:G99"/>
    <mergeCell ref="H98:J98"/>
    <mergeCell ref="K98:N98"/>
    <mergeCell ref="O98:AH98"/>
    <mergeCell ref="AI98:AN99"/>
    <mergeCell ref="H99:J99"/>
    <mergeCell ref="K99:N99"/>
    <mergeCell ref="O99:AH99"/>
    <mergeCell ref="U118:W118"/>
    <mergeCell ref="I58:L58"/>
    <mergeCell ref="N58:R58"/>
    <mergeCell ref="F62:G64"/>
    <mergeCell ref="AI62:AN63"/>
    <mergeCell ref="AI64:AN65"/>
    <mergeCell ref="F65:G67"/>
    <mergeCell ref="AI66:AN67"/>
    <mergeCell ref="F92:G93"/>
    <mergeCell ref="H92:AH95"/>
    <mergeCell ref="AI92:AN94"/>
    <mergeCell ref="F94:G95"/>
    <mergeCell ref="AI95:AN97"/>
    <mergeCell ref="F96:G97"/>
    <mergeCell ref="H96:J96"/>
    <mergeCell ref="K96:N96"/>
    <mergeCell ref="O96:AH96"/>
    <mergeCell ref="K97:N97"/>
    <mergeCell ref="O97:AH97"/>
    <mergeCell ref="H78:AA78"/>
    <mergeCell ref="H79:AA79"/>
    <mergeCell ref="H80:AA80"/>
    <mergeCell ref="I82:L82"/>
    <mergeCell ref="N82:R82"/>
    <mergeCell ref="S82:T82"/>
    <mergeCell ref="I56:L56"/>
    <mergeCell ref="N56:R56"/>
    <mergeCell ref="S56:T56"/>
    <mergeCell ref="I57:L57"/>
    <mergeCell ref="N57:R57"/>
    <mergeCell ref="S57:T57"/>
    <mergeCell ref="I54:L54"/>
    <mergeCell ref="N54:R54"/>
    <mergeCell ref="S54:T54"/>
    <mergeCell ref="U54:W54"/>
    <mergeCell ref="I55:L55"/>
    <mergeCell ref="N55:R55"/>
    <mergeCell ref="S55:T55"/>
    <mergeCell ref="U55:W55"/>
    <mergeCell ref="H49:AA49"/>
    <mergeCell ref="H50:AA50"/>
    <mergeCell ref="H51:AA51"/>
    <mergeCell ref="I53:L53"/>
    <mergeCell ref="N53:R53"/>
    <mergeCell ref="S53:T53"/>
    <mergeCell ref="U53:W53"/>
    <mergeCell ref="U27:W27"/>
    <mergeCell ref="I28:L28"/>
    <mergeCell ref="N28:R28"/>
    <mergeCell ref="F33:G35"/>
    <mergeCell ref="H33:AH34"/>
    <mergeCell ref="AI33:AN34"/>
    <mergeCell ref="H35:J35"/>
    <mergeCell ref="K35:AH35"/>
    <mergeCell ref="AI35:AN36"/>
    <mergeCell ref="F36:G38"/>
    <mergeCell ref="K36:AH36"/>
    <mergeCell ref="H37:J37"/>
    <mergeCell ref="K37:AH37"/>
    <mergeCell ref="AI37:AN38"/>
    <mergeCell ref="H38:J38"/>
    <mergeCell ref="K38:AH38"/>
    <mergeCell ref="I25:L25"/>
    <mergeCell ref="N25:R25"/>
    <mergeCell ref="S25:T25"/>
    <mergeCell ref="I26:L26"/>
    <mergeCell ref="N26:R26"/>
    <mergeCell ref="I27:L27"/>
    <mergeCell ref="N27:R27"/>
    <mergeCell ref="S27:T27"/>
    <mergeCell ref="I23:L23"/>
    <mergeCell ref="N23:R23"/>
    <mergeCell ref="S23:T23"/>
    <mergeCell ref="F1:G6"/>
    <mergeCell ref="H1:AH2"/>
    <mergeCell ref="AI1:AN2"/>
    <mergeCell ref="H3:J3"/>
    <mergeCell ref="K3:AH3"/>
    <mergeCell ref="AI3:AN4"/>
    <mergeCell ref="K4:AH4"/>
    <mergeCell ref="H5:J5"/>
    <mergeCell ref="K5:AH5"/>
    <mergeCell ref="AI5:AN6"/>
    <mergeCell ref="H6:J6"/>
    <mergeCell ref="K6:AH6"/>
    <mergeCell ref="U23:W23"/>
    <mergeCell ref="I24:L24"/>
    <mergeCell ref="N24:R24"/>
    <mergeCell ref="S24:T24"/>
    <mergeCell ref="AR8:AS8"/>
    <mergeCell ref="AR10:AS10"/>
    <mergeCell ref="AT10:AV10"/>
    <mergeCell ref="H19:AA19"/>
    <mergeCell ref="H20:AA20"/>
    <mergeCell ref="H21:AA21"/>
    <mergeCell ref="AR72:AS72"/>
    <mergeCell ref="AT72:AV72"/>
    <mergeCell ref="AR99:AS99"/>
    <mergeCell ref="AT99:AV99"/>
    <mergeCell ref="AR100:AS100"/>
    <mergeCell ref="AT100:AV100"/>
    <mergeCell ref="AR101:AS101"/>
    <mergeCell ref="AT101:AV101"/>
    <mergeCell ref="AR6:AS6"/>
    <mergeCell ref="AT6:AV6"/>
    <mergeCell ref="AR7:AS7"/>
    <mergeCell ref="AT7:AV7"/>
    <mergeCell ref="AR38:AS38"/>
    <mergeCell ref="AT38:AV38"/>
    <mergeCell ref="AR39:AS39"/>
    <mergeCell ref="AT39:AV39"/>
    <mergeCell ref="AR40:AS40"/>
    <mergeCell ref="AT40:AV40"/>
    <mergeCell ref="AR67:AS67"/>
    <mergeCell ref="AT67:AV67"/>
    <mergeCell ref="AR68:AS68"/>
    <mergeCell ref="AT68:AV68"/>
    <mergeCell ref="AR69:AS69"/>
    <mergeCell ref="AT69:AV69"/>
    <mergeCell ref="U82:W82"/>
    <mergeCell ref="I85:L85"/>
    <mergeCell ref="N85:R85"/>
    <mergeCell ref="U85:W85"/>
    <mergeCell ref="I83:L83"/>
    <mergeCell ref="N83:R83"/>
    <mergeCell ref="S83:T83"/>
    <mergeCell ref="S85:T85"/>
    <mergeCell ref="I84:L84"/>
    <mergeCell ref="N84:R84"/>
    <mergeCell ref="S84:T84"/>
    <mergeCell ref="I150:L150"/>
    <mergeCell ref="N150:R150"/>
    <mergeCell ref="S150:T150"/>
    <mergeCell ref="U150:W150"/>
    <mergeCell ref="I151:L151"/>
    <mergeCell ref="N151:R151"/>
    <mergeCell ref="S151:T151"/>
    <mergeCell ref="H143:AA143"/>
    <mergeCell ref="I86:L86"/>
    <mergeCell ref="N86:R86"/>
    <mergeCell ref="U86:W86"/>
    <mergeCell ref="I87:L87"/>
    <mergeCell ref="N87:R87"/>
    <mergeCell ref="S86:T86"/>
    <mergeCell ref="U119:W119"/>
    <mergeCell ref="U122:W122"/>
    <mergeCell ref="I121:L121"/>
    <mergeCell ref="N121:R121"/>
    <mergeCell ref="I122:L122"/>
    <mergeCell ref="N122:R122"/>
    <mergeCell ref="S122:T122"/>
    <mergeCell ref="F128:G133"/>
    <mergeCell ref="H128:AH129"/>
    <mergeCell ref="AI128:AN129"/>
    <mergeCell ref="K130:N130"/>
    <mergeCell ref="O130:AH133"/>
    <mergeCell ref="AI130:AN131"/>
    <mergeCell ref="K131:N131"/>
    <mergeCell ref="K132:N132"/>
    <mergeCell ref="AI132:AN133"/>
    <mergeCell ref="K133:N133"/>
    <mergeCell ref="I368:L368"/>
    <mergeCell ref="N368:R368"/>
    <mergeCell ref="AR314:AS314"/>
    <mergeCell ref="AR339:AS339"/>
    <mergeCell ref="AT339:AV339"/>
    <mergeCell ref="AR356:AS356"/>
    <mergeCell ref="AT356:AV356"/>
    <mergeCell ref="H359:AA359"/>
    <mergeCell ref="H360:AA360"/>
    <mergeCell ref="H361:AA361"/>
    <mergeCell ref="I363:L363"/>
    <mergeCell ref="N363:R363"/>
    <mergeCell ref="S363:T363"/>
    <mergeCell ref="U363:W363"/>
    <mergeCell ref="AI332:AN333"/>
    <mergeCell ref="H334:J334"/>
    <mergeCell ref="K334:AH334"/>
    <mergeCell ref="AI334:AN335"/>
    <mergeCell ref="K335:AH335"/>
    <mergeCell ref="H336:J336"/>
    <mergeCell ref="K336:AH336"/>
    <mergeCell ref="AI336:AN337"/>
    <mergeCell ref="H337:J337"/>
    <mergeCell ref="K337:AH337"/>
    <mergeCell ref="F298:G299"/>
    <mergeCell ref="N327:R327"/>
    <mergeCell ref="S327:T327"/>
    <mergeCell ref="U327:W327"/>
    <mergeCell ref="F300:G305"/>
    <mergeCell ref="AT314:AV314"/>
    <mergeCell ref="I367:L367"/>
    <mergeCell ref="N367:R367"/>
    <mergeCell ref="S367:T367"/>
    <mergeCell ref="U367:W367"/>
    <mergeCell ref="F335:G337"/>
    <mergeCell ref="AI298:AN301"/>
    <mergeCell ref="H302:J302"/>
    <mergeCell ref="K302:AH302"/>
    <mergeCell ref="AI302:AN303"/>
    <mergeCell ref="K303:AH303"/>
    <mergeCell ref="H304:J304"/>
    <mergeCell ref="K304:AH304"/>
    <mergeCell ref="AI304:AN305"/>
    <mergeCell ref="H305:J305"/>
    <mergeCell ref="K305:AH305"/>
    <mergeCell ref="H317:AA317"/>
    <mergeCell ref="H318:AA318"/>
    <mergeCell ref="H319:AA319"/>
  </mergeCells>
  <phoneticPr fontId="25" type="noConversion"/>
  <conditionalFormatting sqref="F104">
    <cfRule type="duplicateValues" dxfId="63" priority="155"/>
  </conditionalFormatting>
  <conditionalFormatting sqref="J16:AM17 J46:AM47 J173:AM174 J238:AM239 J272:AM273">
    <cfRule type="cellIs" dxfId="62" priority="154" operator="equal">
      <formula>2</formula>
    </cfRule>
    <cfRule type="cellIs" dxfId="61" priority="153" operator="greaterThan">
      <formula>3</formula>
    </cfRule>
    <cfRule type="cellIs" dxfId="60" priority="152" operator="lessThan">
      <formula>2</formula>
    </cfRule>
  </conditionalFormatting>
  <conditionalFormatting sqref="J75:AM76">
    <cfRule type="cellIs" dxfId="59" priority="148" operator="equal">
      <formula>2</formula>
    </cfRule>
    <cfRule type="cellIs" dxfId="58" priority="147" operator="greaterThan">
      <formula>3</formula>
    </cfRule>
    <cfRule type="cellIs" dxfId="57" priority="146" operator="lessThan">
      <formula>2</formula>
    </cfRule>
  </conditionalFormatting>
  <conditionalFormatting sqref="J110:AM111">
    <cfRule type="cellIs" dxfId="56" priority="144" operator="greaterThan">
      <formula>3</formula>
    </cfRule>
    <cfRule type="cellIs" dxfId="55" priority="145" operator="equal">
      <formula>2</formula>
    </cfRule>
    <cfRule type="cellIs" dxfId="54" priority="143" operator="lessThan">
      <formula>2</formula>
    </cfRule>
  </conditionalFormatting>
  <conditionalFormatting sqref="J139:AM140">
    <cfRule type="cellIs" dxfId="53" priority="58" operator="greaterThan">
      <formula>3</formula>
    </cfRule>
    <cfRule type="cellIs" dxfId="52" priority="59" operator="equal">
      <formula>2</formula>
    </cfRule>
    <cfRule type="cellIs" dxfId="51" priority="57" operator="lessThan">
      <formula>2</formula>
    </cfRule>
  </conditionalFormatting>
  <conditionalFormatting sqref="J314:AN315">
    <cfRule type="cellIs" dxfId="50" priority="1" operator="lessThan">
      <formula>2</formula>
    </cfRule>
    <cfRule type="cellIs" dxfId="49" priority="2" operator="greaterThan">
      <formula>3</formula>
    </cfRule>
    <cfRule type="cellIs" dxfId="48" priority="3" operator="equal">
      <formula>2</formula>
    </cfRule>
  </conditionalFormatting>
  <conditionalFormatting sqref="J356:AN357">
    <cfRule type="cellIs" dxfId="47" priority="10" operator="lessThan">
      <formula>2</formula>
    </cfRule>
    <cfRule type="cellIs" dxfId="46" priority="11" operator="greaterThan">
      <formula>3</formula>
    </cfRule>
    <cfRule type="cellIs" dxfId="45" priority="12" operator="equal">
      <formula>2</formula>
    </cfRule>
  </conditionalFormatting>
  <conditionalFormatting sqref="J390:AN391">
    <cfRule type="cellIs" dxfId="44" priority="93" operator="equal">
      <formula>2</formula>
    </cfRule>
    <cfRule type="cellIs" dxfId="43" priority="92" operator="greaterThan">
      <formula>3</formula>
    </cfRule>
    <cfRule type="cellIs" dxfId="42" priority="91" operator="lessThan">
      <formula>2</formula>
    </cfRule>
  </conditionalFormatting>
  <conditionalFormatting sqref="J424:AN425">
    <cfRule type="cellIs" dxfId="41" priority="90" operator="equal">
      <formula>2</formula>
    </cfRule>
    <cfRule type="cellIs" dxfId="40" priority="89" operator="greaterThan">
      <formula>3</formula>
    </cfRule>
    <cfRule type="cellIs" dxfId="39" priority="88" operator="lessThan">
      <formula>2</formula>
    </cfRule>
  </conditionalFormatting>
  <conditionalFormatting sqref="J458:AN459">
    <cfRule type="cellIs" dxfId="38" priority="87" operator="equal">
      <formula>2</formula>
    </cfRule>
    <cfRule type="cellIs" dxfId="37" priority="86" operator="greaterThan">
      <formula>3</formula>
    </cfRule>
    <cfRule type="cellIs" dxfId="36" priority="85" operator="lessThan">
      <formula>2</formula>
    </cfRule>
  </conditionalFormatting>
  <conditionalFormatting sqref="J495:AN496">
    <cfRule type="cellIs" dxfId="35" priority="83" operator="equal">
      <formula>2</formula>
    </cfRule>
    <cfRule type="cellIs" dxfId="34" priority="82" operator="greaterThan">
      <formula>3</formula>
    </cfRule>
    <cfRule type="cellIs" dxfId="33" priority="81" operator="lessThan">
      <formula>2</formula>
    </cfRule>
  </conditionalFormatting>
  <conditionalFormatting sqref="J532:AN533">
    <cfRule type="cellIs" dxfId="32" priority="80" operator="equal">
      <formula>2</formula>
    </cfRule>
    <cfRule type="cellIs" dxfId="31" priority="79" operator="greaterThan">
      <formula>3</formula>
    </cfRule>
    <cfRule type="cellIs" dxfId="30" priority="78" operator="lessThan">
      <formula>2</formula>
    </cfRule>
  </conditionalFormatting>
  <conditionalFormatting sqref="J569:AN570">
    <cfRule type="cellIs" dxfId="29" priority="75" operator="lessThan">
      <formula>2</formula>
    </cfRule>
    <cfRule type="cellIs" dxfId="28" priority="76" operator="greaterThan">
      <formula>3</formula>
    </cfRule>
    <cfRule type="cellIs" dxfId="27" priority="77" operator="equal">
      <formula>2</formula>
    </cfRule>
  </conditionalFormatting>
  <conditionalFormatting sqref="J606:AN607">
    <cfRule type="cellIs" dxfId="26" priority="74" operator="equal">
      <formula>2</formula>
    </cfRule>
    <cfRule type="cellIs" dxfId="25" priority="72" operator="lessThan">
      <formula>2</formula>
    </cfRule>
    <cfRule type="cellIs" dxfId="24" priority="73" operator="greaterThan">
      <formula>3</formula>
    </cfRule>
  </conditionalFormatting>
  <conditionalFormatting sqref="AN16:AN17">
    <cfRule type="cellIs" dxfId="23" priority="20" operator="equal">
      <formula>2</formula>
    </cfRule>
    <cfRule type="cellIs" dxfId="22" priority="19" operator="greaterThan">
      <formula>3</formula>
    </cfRule>
    <cfRule type="cellIs" dxfId="21" priority="18" operator="lessThan">
      <formula>2</formula>
    </cfRule>
  </conditionalFormatting>
  <conditionalFormatting sqref="AN46:AN47">
    <cfRule type="cellIs" dxfId="20" priority="23" operator="equal">
      <formula>2</formula>
    </cfRule>
    <cfRule type="cellIs" dxfId="19" priority="22" operator="greaterThan">
      <formula>3</formula>
    </cfRule>
    <cfRule type="cellIs" dxfId="18" priority="21" operator="lessThan">
      <formula>2</formula>
    </cfRule>
  </conditionalFormatting>
  <conditionalFormatting sqref="AN75:AN76">
    <cfRule type="cellIs" dxfId="17" priority="14" operator="lessThan">
      <formula>2</formula>
    </cfRule>
    <cfRule type="cellIs" dxfId="16" priority="16" operator="equal">
      <formula>2</formula>
    </cfRule>
    <cfRule type="cellIs" dxfId="15" priority="15" operator="greaterThan">
      <formula>3</formula>
    </cfRule>
  </conditionalFormatting>
  <conditionalFormatting sqref="AN110:AN111">
    <cfRule type="cellIs" dxfId="14" priority="29" operator="equal">
      <formula>2</formula>
    </cfRule>
    <cfRule type="cellIs" dxfId="13" priority="28" operator="greaterThan">
      <formula>3</formula>
    </cfRule>
    <cfRule type="cellIs" dxfId="12" priority="27" operator="lessThan">
      <formula>2</formula>
    </cfRule>
  </conditionalFormatting>
  <conditionalFormatting sqref="AN139:AN140">
    <cfRule type="cellIs" dxfId="11" priority="32" operator="equal">
      <formula>2</formula>
    </cfRule>
    <cfRule type="cellIs" dxfId="10" priority="31" operator="greaterThan">
      <formula>3</formula>
    </cfRule>
    <cfRule type="cellIs" dxfId="9" priority="30" operator="lessThan">
      <formula>2</formula>
    </cfRule>
  </conditionalFormatting>
  <conditionalFormatting sqref="AN173:AN174">
    <cfRule type="cellIs" dxfId="8" priority="35" operator="equal">
      <formula>2</formula>
    </cfRule>
    <cfRule type="cellIs" dxfId="7" priority="34" operator="greaterThan">
      <formula>3</formula>
    </cfRule>
    <cfRule type="cellIs" dxfId="6" priority="33" operator="lessThan">
      <formula>2</formula>
    </cfRule>
  </conditionalFormatting>
  <conditionalFormatting sqref="AN238:AN239">
    <cfRule type="cellIs" dxfId="5" priority="39" operator="lessThan">
      <formula>2</formula>
    </cfRule>
    <cfRule type="cellIs" dxfId="4" priority="41" operator="equal">
      <formula>2</formula>
    </cfRule>
    <cfRule type="cellIs" dxfId="3" priority="40" operator="greaterThan">
      <formula>3</formula>
    </cfRule>
  </conditionalFormatting>
  <conditionalFormatting sqref="AN272:AN273">
    <cfRule type="cellIs" dxfId="2" priority="44" operator="equal">
      <formula>2</formula>
    </cfRule>
    <cfRule type="cellIs" dxfId="1" priority="43" operator="greaterThan">
      <formula>3</formula>
    </cfRule>
    <cfRule type="cellIs" dxfId="0" priority="42" operator="lessThan">
      <formula>2</formula>
    </cfRule>
  </conditionalFormatting>
  <dataValidations count="2">
    <dataValidation type="list" allowBlank="1" showInputMessage="1" showErrorMessage="1" sqref="R73:T73 AJ188:AK188 AG135 AL271:AM271 J355:K355 R71:S71 AI136 AM74:AN74 U188:V188 AM135:AN135 V73:W73 AK137 AL205 W136 U198:W199 AA72:AB72 AD71:AE71 AC353:AD353 AE137 X74:AB74 U172:V172 S169:T171 L44:M44 AJ70:AL70 O71:P71 J340:K340 M166:N166 J103:Q103 AI172:AJ172 X138 M187:N187 AJ138 AM265:AN265 AD138 P271 AB187:AC187 AI342 V166 AJ103:AL103 U70:Y70 AC136 Q136 AA135 X103:Y103 W40:Y42 U135 AC342:AD342 AK40:AN42 AL102 AG73:AH73 O135 S137 Y137 AM101:AN103 AJ353:AL353 U205:W205 X101:Y101 R138 J271:L271 AJ166:AK166 AA166:AB166 AB234:AN234 AN267:AN271 V234:X234 V271:AA271 AL198:AL199 AJ206:AK206 AB236:AD236 AM72:AN72 AJ73:AL73 K72:M72 X72:Y72 AG71:AI71 J40:K42 L69:M69 W102:Y102 AA103:AE103 U103:V103 AL262:AL264 AK270:AL270 AL268 AB265:AC267 O270 AH265:AH267 W262:W264 AC262:AC264 X269:Y269 R262:R264 U268:Z268 J270:K270 N262:N264 AF262:AF264 AM266:AM270 AD268 U262:U264 U270:Z270 X265:Y266 O105:Q105 V105:X105 AJ105:AL105 AC105:AD105 O353:Q353 V353:X353 M234:T234" xr:uid="{D55A1F87-3670-418A-9AFA-BA51D699C1EE}">
      <formula1>"D14,D13,D12,D11,D10,D9,D8,N14,N13,N12,N11,N10,N9,N8,Vc,CZ,In,Ac,NR,LC, SP,X"</formula1>
    </dataValidation>
    <dataValidation type="list" allowBlank="1" showInputMessage="1" showErrorMessage="1" sqref="AG312 N71 AI73 AF71 T354:AA354 AJ72 R168:S168 AL166 M433 M247 M350 P172 J266:L266 W8:X8 P350:AB350 L351 M467 AE268:AG268 AC72:AG72 AF169:AH172 AK232:AN232 M365 J198:K199 Z103 AI169:AI171 AE342:AF342 AH342 R172:S172 W166 J172:K172 M282 Q271:R271 N72:R72 AA71:AC71 J168:M168 J101:N101 AG208:AH209 M218 M25 M55 M84 M119 M149 M182 Q208:S209 W168:AE168 X172:Y172 X73:AC73 M504 M541 M578 M615 AG102:AK102 Z101:AC102 Q101:T101 AM311:AN311 J254 J169:R171 M323 AM198:AN199 M399 J312:K312 J8:T8 J12 M271:O271 AI235:AN235 Z72 W311 O198:P199 X310 Q71 AE236:AG236 AJ71:AN71 AH311:AI311 Y309:AF309 W169:AB171 AF101:AI101 U234 AH271:AJ271 R70:S70 AB138:AC138 Z70:AD70 Q137:R137 AI45:AJ45 AE135:AF135 Z42:AJ42 V232:AA232 U168:V171 L40:M40 Z8:AN8 T355 W254 AG241:AH254 Y254 R254:S254 N254:P254 AC241:AE254 K137:M137 AM308 K41:T42 M135:N135 P138:Q138 AM136:AN136 S135:T135 M236:T236 O232 AI137:AJ137 AJ168:AL171 J167:V167 AL188:AN188 W137:X137 AK135:AL135 Z40:AB40 L355:O355 AC10:AJ10 AF40:AJ41 AB11:AJ11 J13:AJ13 AA262:AB264 AN12 J10:X10 K14:AM14 AI312:AM312 Y308:AB308 J308:N308 AC137:AD137 Y135:Z135 AG136:AH136 R200:W204 N237:S237 J205:K205 O205:P205 Y205:Z205 Z206:AB206 AL236:AN236 P233:U233 J232:L232 Z41:AE41 AE233:AJ233 AL307:AN307 J313:Q313 Y313:AF313 K73:L73 K71 J72:J73 AG70:AI70 N69:U69 U72:U73 T70:T71 AI43:AJ43 N43:S43 AN313 J309:Q309 N310:P310 AC310 AN309 V138:W138 AG168:AH168 AC166 J188:N188 O187:V187 W188:AC188 X167:AI167 J138:L138 W103 AA136:AB136 AJ207:AN207 J207 AF103 AH138:AI138 J9:AN9 K311:O311 T311:U311 Y311:AC311 AK311 S312 AD312:AE312 P312:Q312 U312:Y312 AM346 N45:S45 AM69:AN70 AM73:AN73 AG106:AN106 K44 N269:N270 V262:V264 J106:K106 K269 R106:Z106 AD187:AI187 L270 AE310 M307:X307 AI308 Q73 AC237:AH237 Y346:AB346 J346:N346 AM167:AN172 J136:K136 O136:P136 U136:V136 J74:Q74 AC74:AE74 T74:W74 AI74:AL74 W344:AB344 Q345:V345 J344:M344 Z351:AA351 AG262:AK264 U71:Y71 X69:AK69 L340:O340 L104:W104 AA104:AL104 P347:R347 AL72 AC44:AJ44 AL344:AM344 AI346 J15:P15 U15:AN15 R108:Z108 AM342 P351:R351 J70:O70 Z265:AA266 AH354:AM354 U351:V351 AJ342:AK342 X351 AF345:AK345 T340 AB307:AJ307 P354 W72 AG269 K262:M264 S269:W269 T265:W266 J268:N268 AA268:AC268 AJ268:AK268 S262:T264 O262:Q264 P270:Q270 AD262:AE264 AL265:AL267 AK269:AL269 AN266 AI265:AJ267 AD265:AG267 Z269:AD269 AG270:AI270 AG108:AN108 J108:K108 K204:O204 X203:AL203 AH204:AM204 AH200:AL202 X198:AB199 L199:N199 T235:X235" xr:uid="{7E642982-1AAA-4DB9-854B-E3D880ABEA48}">
      <formula1>"D14,D13,D12,D11,D10,D9,D8,N14,N13,N12,N11,N10,N9,N8,Vc,CZ,In,Ac,NR,X"</formula1>
    </dataValidation>
  </dataValidations>
  <pageMargins left="0.7" right="0.7" top="0.75" bottom="0.75" header="0.3" footer="0.3"/>
  <pageSetup orientation="portrait" r:id="rId1"/>
  <ignoredErrors>
    <ignoredError sqref="Q208:R209 S208:S209" listDataValidation="1"/>
    <ignoredError sqref="AN313 AN309 AN311 AN307" calculatedColumn="1"/>
  </ignoredErrors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 OP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CORAZA C.T.A zona7</dc:creator>
  <cp:lastModifiedBy>Programaión &amp; Control Coraza Seguridad Cta.</cp:lastModifiedBy>
  <dcterms:created xsi:type="dcterms:W3CDTF">2015-06-05T18:19:34Z</dcterms:created>
  <dcterms:modified xsi:type="dcterms:W3CDTF">2026-06-18T22:00:07Z</dcterms:modified>
</cp:coreProperties>
</file>